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pp levin\Design-Graphs-for-Poor-Liquid-Rockets\Design-Graphs-for-Poor-Liquid-Rockets\"/>
    </mc:Choice>
  </mc:AlternateContent>
  <xr:revisionPtr revIDLastSave="0" documentId="8_{07C48308-967A-4AEE-B20B-916086652C61}" xr6:coauthVersionLast="47" xr6:coauthVersionMax="47" xr10:uidLastSave="{00000000-0000-0000-0000-000000000000}"/>
  <bookViews>
    <workbookView xWindow="-108" yWindow="492" windowWidth="23256" windowHeight="12576" xr2:uid="{961882CC-922E-4237-9B6A-BA7F1BAC91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D8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8" i="1"/>
  <c r="A9" i="1" s="1"/>
  <c r="C8" i="1"/>
  <c r="D6" i="1" s="1"/>
  <c r="E8" i="1" s="1"/>
  <c r="F8" i="1" s="1"/>
  <c r="G8" i="1" s="1"/>
  <c r="B9" i="1" s="1"/>
  <c r="D9" i="1" s="1"/>
  <c r="E2" i="1"/>
  <c r="C3" i="1" l="1"/>
  <c r="F4" i="1" s="1"/>
  <c r="H9" i="1"/>
  <c r="C9" i="1" l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E9" i="1" l="1"/>
  <c r="F9" i="1" s="1"/>
  <c r="G9" i="1" s="1"/>
  <c r="B10" i="1" s="1"/>
  <c r="D10" i="1" s="1"/>
  <c r="E10" i="1" s="1"/>
  <c r="F10" i="1" s="1"/>
  <c r="G10" i="1" s="1"/>
  <c r="B11" i="1" s="1"/>
  <c r="D11" i="1" s="1"/>
  <c r="H10" i="1" l="1"/>
  <c r="H11" i="1" s="1"/>
  <c r="E11" i="1"/>
  <c r="F11" i="1" s="1"/>
  <c r="G11" i="1" s="1"/>
  <c r="B12" i="1" s="1"/>
  <c r="D12" i="1" s="1"/>
  <c r="E12" i="1" l="1"/>
  <c r="F12" i="1" s="1"/>
  <c r="G12" i="1" s="1"/>
  <c r="B13" i="1" s="1"/>
  <c r="D13" i="1" s="1"/>
  <c r="H12" i="1"/>
  <c r="E13" i="1" l="1"/>
  <c r="F13" i="1" s="1"/>
  <c r="G13" i="1" s="1"/>
  <c r="B14" i="1" s="1"/>
  <c r="D14" i="1" s="1"/>
  <c r="H13" i="1"/>
  <c r="E14" i="1" l="1"/>
  <c r="F14" i="1" s="1"/>
  <c r="G14" i="1" s="1"/>
  <c r="B15" i="1" s="1"/>
  <c r="D15" i="1" s="1"/>
  <c r="H14" i="1"/>
  <c r="E15" i="1" l="1"/>
  <c r="F15" i="1" s="1"/>
  <c r="G15" i="1" s="1"/>
  <c r="B16" i="1" s="1"/>
  <c r="D16" i="1" s="1"/>
  <c r="H15" i="1"/>
  <c r="E16" i="1" l="1"/>
  <c r="F16" i="1" s="1"/>
  <c r="G16" i="1" s="1"/>
  <c r="B17" i="1" s="1"/>
  <c r="D17" i="1" s="1"/>
  <c r="H16" i="1"/>
  <c r="E17" i="1" l="1"/>
  <c r="F17" i="1" s="1"/>
  <c r="G17" i="1" s="1"/>
  <c r="B18" i="1" s="1"/>
  <c r="D18" i="1" s="1"/>
  <c r="H17" i="1"/>
  <c r="E18" i="1" l="1"/>
  <c r="F18" i="1" s="1"/>
  <c r="G18" i="1" s="1"/>
  <c r="B19" i="1" s="1"/>
  <c r="D19" i="1" s="1"/>
  <c r="H18" i="1"/>
  <c r="H19" i="1" l="1"/>
  <c r="E19" i="1"/>
  <c r="F19" i="1" s="1"/>
  <c r="G19" i="1" s="1"/>
  <c r="B20" i="1" s="1"/>
  <c r="D20" i="1" s="1"/>
  <c r="E20" i="1" l="1"/>
  <c r="F20" i="1" s="1"/>
  <c r="G20" i="1" s="1"/>
  <c r="B21" i="1" s="1"/>
  <c r="D21" i="1" s="1"/>
  <c r="H20" i="1"/>
  <c r="E21" i="1" l="1"/>
  <c r="F21" i="1" s="1"/>
  <c r="G21" i="1" s="1"/>
  <c r="B22" i="1" s="1"/>
  <c r="D22" i="1" s="1"/>
  <c r="H21" i="1"/>
  <c r="E22" i="1" l="1"/>
  <c r="F22" i="1" s="1"/>
  <c r="G22" i="1" s="1"/>
  <c r="B23" i="1" s="1"/>
  <c r="D23" i="1" s="1"/>
  <c r="H22" i="1"/>
  <c r="E23" i="1" l="1"/>
  <c r="F23" i="1" s="1"/>
  <c r="G23" i="1" s="1"/>
  <c r="B24" i="1" s="1"/>
  <c r="D24" i="1" s="1"/>
  <c r="H23" i="1"/>
  <c r="E24" i="1" l="1"/>
  <c r="F24" i="1" s="1"/>
  <c r="G24" i="1" s="1"/>
  <c r="B25" i="1" s="1"/>
  <c r="D25" i="1" s="1"/>
  <c r="H24" i="1"/>
  <c r="E25" i="1" l="1"/>
  <c r="F25" i="1" s="1"/>
  <c r="G25" i="1" s="1"/>
  <c r="B26" i="1" s="1"/>
  <c r="D26" i="1" s="1"/>
  <c r="H25" i="1"/>
  <c r="H26" i="1" l="1"/>
  <c r="E26" i="1"/>
  <c r="F26" i="1" s="1"/>
  <c r="G26" i="1" s="1"/>
  <c r="B27" i="1" s="1"/>
  <c r="D27" i="1" s="1"/>
  <c r="E27" i="1" l="1"/>
  <c r="F27" i="1" s="1"/>
  <c r="G27" i="1" s="1"/>
  <c r="B28" i="1" s="1"/>
  <c r="D28" i="1" s="1"/>
  <c r="H27" i="1"/>
  <c r="E28" i="1" l="1"/>
  <c r="F28" i="1" s="1"/>
  <c r="G28" i="1" s="1"/>
  <c r="B29" i="1" s="1"/>
  <c r="D29" i="1" s="1"/>
  <c r="H28" i="1"/>
  <c r="H29" i="1" l="1"/>
  <c r="E29" i="1"/>
  <c r="F29" i="1" s="1"/>
  <c r="G29" i="1" s="1"/>
  <c r="B30" i="1" s="1"/>
  <c r="D30" i="1" s="1"/>
  <c r="E30" i="1" l="1"/>
  <c r="F30" i="1" s="1"/>
  <c r="G30" i="1" s="1"/>
  <c r="B31" i="1" s="1"/>
  <c r="D31" i="1" s="1"/>
  <c r="H30" i="1"/>
  <c r="E31" i="1" l="1"/>
  <c r="F31" i="1" s="1"/>
  <c r="G31" i="1" s="1"/>
  <c r="B32" i="1" s="1"/>
  <c r="D32" i="1" s="1"/>
  <c r="H31" i="1"/>
  <c r="E32" i="1" l="1"/>
  <c r="F32" i="1" s="1"/>
  <c r="G32" i="1" s="1"/>
  <c r="B33" i="1" s="1"/>
  <c r="D33" i="1" s="1"/>
  <c r="H32" i="1"/>
  <c r="H33" i="1" l="1"/>
  <c r="E33" i="1"/>
  <c r="F33" i="1" s="1"/>
  <c r="G33" i="1" s="1"/>
  <c r="B34" i="1" s="1"/>
  <c r="D34" i="1" s="1"/>
  <c r="E34" i="1" l="1"/>
  <c r="F34" i="1" s="1"/>
  <c r="G34" i="1" s="1"/>
  <c r="B35" i="1" s="1"/>
  <c r="D35" i="1" s="1"/>
  <c r="H34" i="1"/>
  <c r="E35" i="1" l="1"/>
  <c r="F35" i="1" s="1"/>
  <c r="G35" i="1" s="1"/>
  <c r="B36" i="1" s="1"/>
  <c r="D36" i="1" s="1"/>
  <c r="H35" i="1"/>
  <c r="E36" i="1" l="1"/>
  <c r="F36" i="1" s="1"/>
  <c r="G36" i="1" s="1"/>
  <c r="B37" i="1" s="1"/>
  <c r="D37" i="1" s="1"/>
  <c r="H36" i="1"/>
  <c r="E37" i="1" l="1"/>
  <c r="F37" i="1" s="1"/>
  <c r="G37" i="1" s="1"/>
  <c r="B38" i="1" s="1"/>
  <c r="D38" i="1" s="1"/>
  <c r="H37" i="1"/>
  <c r="E38" i="1" l="1"/>
  <c r="F38" i="1" s="1"/>
  <c r="G38" i="1" s="1"/>
  <c r="B39" i="1" s="1"/>
  <c r="D39" i="1" s="1"/>
  <c r="H38" i="1"/>
  <c r="E39" i="1" l="1"/>
  <c r="F39" i="1" s="1"/>
  <c r="G39" i="1" s="1"/>
  <c r="B40" i="1" s="1"/>
  <c r="D40" i="1" s="1"/>
  <c r="H39" i="1"/>
  <c r="H6" i="1" s="1"/>
  <c r="E40" i="1" l="1"/>
  <c r="F40" i="1" s="1"/>
  <c r="G40" i="1" s="1"/>
  <c r="B41" i="1" s="1"/>
  <c r="D41" i="1" s="1"/>
  <c r="H40" i="1"/>
  <c r="E41" i="1" l="1"/>
  <c r="F41" i="1" s="1"/>
  <c r="G41" i="1" s="1"/>
  <c r="B42" i="1" s="1"/>
  <c r="D42" i="1" s="1"/>
  <c r="H41" i="1"/>
  <c r="E42" i="1" l="1"/>
  <c r="F42" i="1" s="1"/>
  <c r="G42" i="1" s="1"/>
  <c r="B43" i="1" s="1"/>
  <c r="D43" i="1" s="1"/>
  <c r="H42" i="1"/>
  <c r="E43" i="1" l="1"/>
  <c r="F43" i="1" s="1"/>
  <c r="G43" i="1" s="1"/>
  <c r="B44" i="1" s="1"/>
  <c r="D44" i="1" s="1"/>
  <c r="H43" i="1"/>
  <c r="E44" i="1" l="1"/>
  <c r="F44" i="1" s="1"/>
  <c r="G44" i="1" s="1"/>
  <c r="B45" i="1" s="1"/>
  <c r="D45" i="1" s="1"/>
  <c r="H44" i="1"/>
  <c r="E45" i="1" l="1"/>
  <c r="F45" i="1" s="1"/>
  <c r="G45" i="1" s="1"/>
  <c r="B46" i="1" s="1"/>
  <c r="D46" i="1" s="1"/>
  <c r="H45" i="1"/>
  <c r="E46" i="1" l="1"/>
  <c r="F46" i="1" s="1"/>
  <c r="G46" i="1" s="1"/>
  <c r="B47" i="1" s="1"/>
  <c r="D47" i="1" s="1"/>
  <c r="H46" i="1"/>
  <c r="E47" i="1" l="1"/>
  <c r="F47" i="1" s="1"/>
  <c r="G47" i="1" s="1"/>
  <c r="B48" i="1" s="1"/>
  <c r="D48" i="1" s="1"/>
  <c r="H47" i="1"/>
  <c r="E48" i="1" l="1"/>
  <c r="F48" i="1" s="1"/>
  <c r="G48" i="1" s="1"/>
  <c r="B49" i="1" s="1"/>
  <c r="D49" i="1" s="1"/>
  <c r="H48" i="1"/>
  <c r="E49" i="1" l="1"/>
  <c r="F49" i="1" s="1"/>
  <c r="G49" i="1" s="1"/>
  <c r="B50" i="1" s="1"/>
  <c r="D50" i="1" s="1"/>
  <c r="H49" i="1"/>
  <c r="H50" i="1" l="1"/>
  <c r="E50" i="1"/>
  <c r="F50" i="1" s="1"/>
  <c r="G50" i="1" s="1"/>
  <c r="B51" i="1" s="1"/>
  <c r="D51" i="1" s="1"/>
  <c r="E51" i="1" l="1"/>
  <c r="F51" i="1" s="1"/>
  <c r="G51" i="1" s="1"/>
  <c r="B52" i="1" s="1"/>
  <c r="D52" i="1" s="1"/>
  <c r="H51" i="1"/>
  <c r="E52" i="1" l="1"/>
  <c r="F52" i="1" s="1"/>
  <c r="G52" i="1" s="1"/>
  <c r="B53" i="1" s="1"/>
  <c r="D53" i="1" s="1"/>
  <c r="H52" i="1"/>
  <c r="H53" i="1" l="1"/>
  <c r="E53" i="1"/>
  <c r="F53" i="1" s="1"/>
  <c r="G53" i="1" s="1"/>
  <c r="B54" i="1" s="1"/>
  <c r="D54" i="1" s="1"/>
  <c r="E54" i="1" l="1"/>
  <c r="F54" i="1" s="1"/>
  <c r="G54" i="1" s="1"/>
  <c r="B55" i="1" s="1"/>
  <c r="D55" i="1" s="1"/>
  <c r="H54" i="1"/>
  <c r="E55" i="1" l="1"/>
  <c r="F55" i="1" s="1"/>
  <c r="G55" i="1" s="1"/>
  <c r="B56" i="1" s="1"/>
  <c r="D56" i="1" s="1"/>
  <c r="H55" i="1"/>
  <c r="E56" i="1" l="1"/>
  <c r="F56" i="1" s="1"/>
  <c r="G56" i="1" s="1"/>
  <c r="B57" i="1" s="1"/>
  <c r="D57" i="1" s="1"/>
  <c r="H56" i="1"/>
  <c r="E57" i="1" l="1"/>
  <c r="F57" i="1" s="1"/>
  <c r="G57" i="1" s="1"/>
  <c r="B58" i="1" s="1"/>
  <c r="D58" i="1" s="1"/>
  <c r="H57" i="1"/>
  <c r="E58" i="1" l="1"/>
  <c r="F58" i="1" s="1"/>
  <c r="G58" i="1" s="1"/>
  <c r="B59" i="1" s="1"/>
  <c r="D59" i="1" s="1"/>
  <c r="H58" i="1"/>
  <c r="E59" i="1" l="1"/>
  <c r="F59" i="1" s="1"/>
  <c r="G59" i="1" s="1"/>
  <c r="B60" i="1" s="1"/>
  <c r="D60" i="1" s="1"/>
  <c r="H59" i="1"/>
  <c r="H60" i="1" l="1"/>
  <c r="E60" i="1"/>
  <c r="F60" i="1" s="1"/>
  <c r="G60" i="1" s="1"/>
  <c r="B61" i="1" s="1"/>
  <c r="D61" i="1" s="1"/>
  <c r="E61" i="1" l="1"/>
  <c r="F61" i="1" s="1"/>
  <c r="G61" i="1" s="1"/>
  <c r="B62" i="1" s="1"/>
  <c r="D62" i="1" s="1"/>
  <c r="H61" i="1"/>
  <c r="E62" i="1" l="1"/>
  <c r="F62" i="1" s="1"/>
  <c r="G62" i="1" s="1"/>
  <c r="B63" i="1" s="1"/>
  <c r="D63" i="1" s="1"/>
  <c r="H62" i="1"/>
  <c r="E63" i="1" l="1"/>
  <c r="F63" i="1" s="1"/>
  <c r="G63" i="1" s="1"/>
  <c r="B64" i="1" s="1"/>
  <c r="D64" i="1" s="1"/>
  <c r="H63" i="1"/>
  <c r="E64" i="1" l="1"/>
  <c r="F64" i="1" s="1"/>
  <c r="G64" i="1" s="1"/>
  <c r="B65" i="1" s="1"/>
  <c r="D65" i="1" s="1"/>
  <c r="H64" i="1"/>
  <c r="H65" i="1" l="1"/>
  <c r="E65" i="1"/>
  <c r="F65" i="1" s="1"/>
  <c r="G65" i="1" s="1"/>
  <c r="B66" i="1" s="1"/>
  <c r="D66" i="1" s="1"/>
  <c r="E66" i="1" l="1"/>
  <c r="F66" i="1" s="1"/>
  <c r="G66" i="1" s="1"/>
  <c r="B67" i="1" s="1"/>
  <c r="D67" i="1" s="1"/>
  <c r="H66" i="1"/>
  <c r="H67" i="1" l="1"/>
  <c r="E67" i="1"/>
  <c r="F67" i="1" s="1"/>
  <c r="G67" i="1" s="1"/>
  <c r="B68" i="1" s="1"/>
  <c r="D68" i="1" s="1"/>
  <c r="H68" i="1" l="1"/>
  <c r="E68" i="1"/>
  <c r="F68" i="1" s="1"/>
  <c r="G68" i="1" s="1"/>
  <c r="B69" i="1" s="1"/>
  <c r="D69" i="1" s="1"/>
  <c r="E69" i="1" l="1"/>
  <c r="F69" i="1" s="1"/>
  <c r="G69" i="1" s="1"/>
  <c r="B70" i="1" s="1"/>
  <c r="D70" i="1" s="1"/>
  <c r="H69" i="1"/>
  <c r="H70" i="1" l="1"/>
  <c r="E70" i="1"/>
  <c r="F70" i="1" s="1"/>
  <c r="G70" i="1" s="1"/>
  <c r="B71" i="1" s="1"/>
  <c r="D71" i="1" s="1"/>
  <c r="E71" i="1" l="1"/>
  <c r="F71" i="1" s="1"/>
  <c r="G71" i="1" s="1"/>
  <c r="B72" i="1" s="1"/>
  <c r="D72" i="1" s="1"/>
  <c r="H71" i="1"/>
  <c r="E72" i="1" l="1"/>
  <c r="F72" i="1" s="1"/>
  <c r="G72" i="1" s="1"/>
  <c r="B73" i="1" s="1"/>
  <c r="D73" i="1" s="1"/>
  <c r="H72" i="1"/>
  <c r="E73" i="1" l="1"/>
  <c r="F73" i="1" s="1"/>
  <c r="G73" i="1" s="1"/>
  <c r="B74" i="1" s="1"/>
  <c r="D74" i="1" s="1"/>
  <c r="H73" i="1"/>
  <c r="H74" i="1" l="1"/>
  <c r="E74" i="1"/>
  <c r="F74" i="1" s="1"/>
  <c r="G74" i="1" s="1"/>
  <c r="B75" i="1" s="1"/>
  <c r="D75" i="1" s="1"/>
  <c r="E75" i="1" l="1"/>
  <c r="F75" i="1" s="1"/>
  <c r="G75" i="1" s="1"/>
  <c r="B76" i="1" s="1"/>
  <c r="D76" i="1" s="1"/>
  <c r="H75" i="1"/>
  <c r="E76" i="1" l="1"/>
  <c r="F76" i="1" s="1"/>
  <c r="G76" i="1" s="1"/>
  <c r="B77" i="1" s="1"/>
  <c r="D77" i="1" s="1"/>
  <c r="H76" i="1"/>
  <c r="E77" i="1" l="1"/>
  <c r="F77" i="1" s="1"/>
  <c r="G77" i="1" s="1"/>
  <c r="B78" i="1" s="1"/>
  <c r="D78" i="1" s="1"/>
  <c r="H77" i="1"/>
  <c r="E78" i="1" l="1"/>
  <c r="F78" i="1" s="1"/>
  <c r="G78" i="1" s="1"/>
  <c r="B79" i="1" s="1"/>
  <c r="D79" i="1" s="1"/>
  <c r="H78" i="1"/>
  <c r="H79" i="1" l="1"/>
  <c r="E79" i="1"/>
  <c r="F79" i="1" s="1"/>
  <c r="G79" i="1" s="1"/>
  <c r="B80" i="1" s="1"/>
  <c r="D80" i="1" s="1"/>
  <c r="E80" i="1" l="1"/>
  <c r="F80" i="1" s="1"/>
  <c r="G80" i="1" s="1"/>
  <c r="B81" i="1" s="1"/>
  <c r="D81" i="1" s="1"/>
  <c r="H80" i="1"/>
  <c r="E81" i="1" l="1"/>
  <c r="F81" i="1" s="1"/>
  <c r="G81" i="1" s="1"/>
  <c r="B82" i="1" s="1"/>
  <c r="D82" i="1" s="1"/>
  <c r="H81" i="1"/>
  <c r="E82" i="1" l="1"/>
  <c r="F82" i="1" s="1"/>
  <c r="G82" i="1" s="1"/>
  <c r="B83" i="1" s="1"/>
  <c r="D83" i="1" s="1"/>
  <c r="H82" i="1"/>
  <c r="E83" i="1" l="1"/>
  <c r="F83" i="1" s="1"/>
  <c r="G83" i="1" s="1"/>
  <c r="B84" i="1" s="1"/>
  <c r="D84" i="1" s="1"/>
  <c r="H83" i="1"/>
  <c r="E84" i="1" l="1"/>
  <c r="F84" i="1" s="1"/>
  <c r="G84" i="1" s="1"/>
  <c r="B85" i="1" s="1"/>
  <c r="D85" i="1" s="1"/>
  <c r="H84" i="1"/>
  <c r="H85" i="1" l="1"/>
  <c r="E85" i="1"/>
  <c r="F85" i="1" s="1"/>
  <c r="G85" i="1" s="1"/>
  <c r="B86" i="1" s="1"/>
  <c r="D86" i="1" s="1"/>
  <c r="E86" i="1" l="1"/>
  <c r="F86" i="1" s="1"/>
  <c r="G86" i="1" s="1"/>
  <c r="B87" i="1" s="1"/>
  <c r="D87" i="1" s="1"/>
  <c r="H86" i="1"/>
  <c r="E87" i="1" l="1"/>
  <c r="F87" i="1" s="1"/>
  <c r="G87" i="1" s="1"/>
  <c r="B88" i="1" s="1"/>
  <c r="D88" i="1" s="1"/>
  <c r="H87" i="1"/>
  <c r="E88" i="1" l="1"/>
  <c r="F88" i="1" s="1"/>
  <c r="G88" i="1" s="1"/>
  <c r="B89" i="1" s="1"/>
  <c r="D89" i="1" s="1"/>
  <c r="H88" i="1"/>
  <c r="E89" i="1" l="1"/>
  <c r="F89" i="1" s="1"/>
  <c r="G89" i="1" s="1"/>
  <c r="B90" i="1" s="1"/>
  <c r="D90" i="1" s="1"/>
  <c r="H89" i="1"/>
  <c r="E90" i="1" l="1"/>
  <c r="F90" i="1" s="1"/>
  <c r="G90" i="1" s="1"/>
  <c r="B91" i="1" s="1"/>
  <c r="D91" i="1" s="1"/>
  <c r="H90" i="1"/>
  <c r="E91" i="1" l="1"/>
  <c r="F91" i="1" s="1"/>
  <c r="G91" i="1" s="1"/>
  <c r="B92" i="1" s="1"/>
  <c r="D92" i="1" s="1"/>
  <c r="H91" i="1"/>
  <c r="E92" i="1" l="1"/>
  <c r="F92" i="1" s="1"/>
  <c r="G92" i="1" s="1"/>
  <c r="B93" i="1" s="1"/>
  <c r="D93" i="1" s="1"/>
  <c r="H92" i="1"/>
  <c r="H93" i="1" l="1"/>
  <c r="E93" i="1"/>
  <c r="F93" i="1" s="1"/>
  <c r="G93" i="1" s="1"/>
  <c r="B94" i="1" s="1"/>
  <c r="D94" i="1" s="1"/>
  <c r="E94" i="1" l="1"/>
  <c r="F94" i="1" s="1"/>
  <c r="G94" i="1" s="1"/>
  <c r="B95" i="1" s="1"/>
  <c r="D95" i="1" s="1"/>
  <c r="H94" i="1"/>
  <c r="H95" i="1" l="1"/>
  <c r="E95" i="1"/>
  <c r="F95" i="1" s="1"/>
  <c r="G95" i="1" s="1"/>
  <c r="B96" i="1" s="1"/>
  <c r="D96" i="1" s="1"/>
  <c r="H96" i="1" l="1"/>
  <c r="E96" i="1"/>
  <c r="F96" i="1" s="1"/>
  <c r="G96" i="1" s="1"/>
  <c r="B97" i="1" s="1"/>
  <c r="D97" i="1" s="1"/>
  <c r="E97" i="1" l="1"/>
  <c r="F97" i="1" s="1"/>
  <c r="G97" i="1" s="1"/>
  <c r="B98" i="1" s="1"/>
  <c r="D98" i="1" s="1"/>
  <c r="H97" i="1"/>
  <c r="H98" i="1" l="1"/>
  <c r="E98" i="1"/>
  <c r="F98" i="1" s="1"/>
  <c r="G98" i="1" s="1"/>
  <c r="B99" i="1" s="1"/>
  <c r="D99" i="1" s="1"/>
  <c r="H99" i="1" l="1"/>
  <c r="E99" i="1"/>
  <c r="F99" i="1" s="1"/>
  <c r="G99" i="1" s="1"/>
  <c r="B100" i="1" s="1"/>
  <c r="D100" i="1" s="1"/>
  <c r="H100" i="1" l="1"/>
  <c r="E100" i="1"/>
  <c r="F100" i="1" s="1"/>
  <c r="G100" i="1" s="1"/>
  <c r="B101" i="1" s="1"/>
  <c r="D101" i="1" s="1"/>
  <c r="H101" i="1" l="1"/>
  <c r="E101" i="1"/>
  <c r="F101" i="1" s="1"/>
  <c r="G101" i="1" s="1"/>
  <c r="B102" i="1" s="1"/>
  <c r="D102" i="1" s="1"/>
  <c r="E102" i="1" l="1"/>
  <c r="F102" i="1" s="1"/>
  <c r="G102" i="1" s="1"/>
  <c r="B103" i="1" s="1"/>
  <c r="D103" i="1" s="1"/>
  <c r="H102" i="1"/>
  <c r="H103" i="1" l="1"/>
  <c r="E103" i="1"/>
  <c r="F103" i="1" s="1"/>
  <c r="G103" i="1" s="1"/>
  <c r="B104" i="1" s="1"/>
  <c r="D104" i="1" s="1"/>
  <c r="H104" i="1" l="1"/>
  <c r="E104" i="1"/>
  <c r="F104" i="1" s="1"/>
  <c r="G104" i="1" s="1"/>
  <c r="B105" i="1" s="1"/>
  <c r="D105" i="1" s="1"/>
  <c r="H105" i="1" l="1"/>
  <c r="E105" i="1"/>
  <c r="F105" i="1" s="1"/>
  <c r="G105" i="1" s="1"/>
  <c r="B106" i="1" s="1"/>
  <c r="D106" i="1" s="1"/>
  <c r="E106" i="1" l="1"/>
  <c r="F106" i="1" s="1"/>
  <c r="G106" i="1" s="1"/>
  <c r="B107" i="1" s="1"/>
  <c r="D107" i="1" s="1"/>
  <c r="H106" i="1"/>
  <c r="E107" i="1" l="1"/>
  <c r="F107" i="1" s="1"/>
  <c r="G107" i="1" s="1"/>
  <c r="B108" i="1" s="1"/>
  <c r="D108" i="1" s="1"/>
  <c r="H107" i="1"/>
  <c r="H108" i="1" l="1"/>
  <c r="E108" i="1"/>
  <c r="F108" i="1" s="1"/>
  <c r="G108" i="1" s="1"/>
  <c r="B109" i="1" s="1"/>
  <c r="D109" i="1" s="1"/>
  <c r="H109" i="1" l="1"/>
  <c r="E109" i="1"/>
  <c r="F109" i="1" s="1"/>
  <c r="G109" i="1" s="1"/>
  <c r="B110" i="1" s="1"/>
  <c r="D110" i="1" s="1"/>
  <c r="H110" i="1" l="1"/>
  <c r="E110" i="1"/>
  <c r="F110" i="1" s="1"/>
  <c r="G110" i="1" s="1"/>
  <c r="B111" i="1" s="1"/>
  <c r="D111" i="1" s="1"/>
  <c r="H111" i="1" l="1"/>
  <c r="E111" i="1"/>
  <c r="F111" i="1" s="1"/>
  <c r="G111" i="1" s="1"/>
  <c r="B112" i="1" s="1"/>
  <c r="D112" i="1" s="1"/>
  <c r="H112" i="1" l="1"/>
  <c r="E112" i="1"/>
  <c r="F112" i="1" s="1"/>
  <c r="G112" i="1" s="1"/>
  <c r="B113" i="1" s="1"/>
  <c r="D113" i="1" s="1"/>
  <c r="H113" i="1" l="1"/>
  <c r="E113" i="1"/>
  <c r="F113" i="1" s="1"/>
  <c r="G113" i="1" s="1"/>
  <c r="B114" i="1" s="1"/>
  <c r="D114" i="1" s="1"/>
  <c r="H114" i="1" l="1"/>
  <c r="E114" i="1"/>
  <c r="F114" i="1" s="1"/>
  <c r="G114" i="1" s="1"/>
  <c r="B115" i="1" s="1"/>
  <c r="D115" i="1" s="1"/>
  <c r="H115" i="1" l="1"/>
  <c r="E115" i="1"/>
  <c r="F115" i="1" s="1"/>
  <c r="G115" i="1" s="1"/>
  <c r="B116" i="1" s="1"/>
  <c r="D116" i="1" s="1"/>
  <c r="E116" i="1" l="1"/>
  <c r="F116" i="1" s="1"/>
  <c r="G116" i="1" s="1"/>
  <c r="B117" i="1" s="1"/>
  <c r="H116" i="1"/>
  <c r="D117" i="1" l="1"/>
  <c r="E117" i="1" s="1"/>
  <c r="F117" i="1" s="1"/>
  <c r="G117" i="1" s="1"/>
  <c r="B118" i="1" s="1"/>
  <c r="H117" i="1"/>
  <c r="H118" i="1" l="1"/>
  <c r="D118" i="1"/>
  <c r="E118" i="1" s="1"/>
  <c r="F118" i="1" s="1"/>
  <c r="G118" i="1" s="1"/>
  <c r="B119" i="1" s="1"/>
  <c r="H119" i="1" l="1"/>
  <c r="D119" i="1"/>
  <c r="E119" i="1" s="1"/>
  <c r="F119" i="1" s="1"/>
  <c r="G119" i="1" s="1"/>
  <c r="B120" i="1" s="1"/>
  <c r="D120" i="1" l="1"/>
  <c r="E120" i="1" s="1"/>
  <c r="F120" i="1" s="1"/>
  <c r="G120" i="1" s="1"/>
  <c r="B121" i="1" s="1"/>
  <c r="H120" i="1"/>
  <c r="D121" i="1" l="1"/>
  <c r="E121" i="1" s="1"/>
  <c r="F121" i="1" s="1"/>
  <c r="G121" i="1" s="1"/>
  <c r="B122" i="1" s="1"/>
  <c r="H121" i="1"/>
  <c r="H122" i="1" l="1"/>
  <c r="D122" i="1"/>
  <c r="E122" i="1" s="1"/>
  <c r="F122" i="1" s="1"/>
  <c r="G122" i="1" s="1"/>
  <c r="B123" i="1" s="1"/>
  <c r="D123" i="1" l="1"/>
  <c r="E123" i="1" s="1"/>
  <c r="F123" i="1" s="1"/>
  <c r="G123" i="1" s="1"/>
  <c r="B124" i="1" s="1"/>
  <c r="H123" i="1"/>
  <c r="D124" i="1" l="1"/>
  <c r="E124" i="1" s="1"/>
  <c r="F124" i="1" s="1"/>
  <c r="G124" i="1" s="1"/>
  <c r="B125" i="1" s="1"/>
  <c r="H124" i="1"/>
  <c r="D125" i="1" l="1"/>
  <c r="E125" i="1" s="1"/>
  <c r="F125" i="1" s="1"/>
  <c r="G125" i="1" s="1"/>
  <c r="B126" i="1" s="1"/>
  <c r="H125" i="1"/>
  <c r="D126" i="1" l="1"/>
  <c r="E126" i="1" s="1"/>
  <c r="F126" i="1" s="1"/>
  <c r="G126" i="1" s="1"/>
  <c r="B127" i="1" s="1"/>
  <c r="H126" i="1"/>
  <c r="D127" i="1" l="1"/>
  <c r="E127" i="1" s="1"/>
  <c r="F127" i="1" s="1"/>
  <c r="G127" i="1" s="1"/>
  <c r="B128" i="1" s="1"/>
  <c r="H127" i="1"/>
  <c r="D128" i="1" l="1"/>
  <c r="E128" i="1" s="1"/>
  <c r="F128" i="1" s="1"/>
  <c r="G128" i="1" s="1"/>
  <c r="B129" i="1" s="1"/>
  <c r="H128" i="1"/>
  <c r="D129" i="1" l="1"/>
  <c r="E129" i="1" s="1"/>
  <c r="F129" i="1" s="1"/>
  <c r="G129" i="1" s="1"/>
  <c r="B130" i="1" s="1"/>
  <c r="H129" i="1"/>
  <c r="D130" i="1" l="1"/>
  <c r="E130" i="1" s="1"/>
  <c r="F130" i="1" s="1"/>
  <c r="G130" i="1" s="1"/>
  <c r="B131" i="1" s="1"/>
  <c r="H130" i="1"/>
  <c r="H131" i="1" l="1"/>
  <c r="D131" i="1"/>
  <c r="E131" i="1" s="1"/>
  <c r="F131" i="1" s="1"/>
  <c r="G131" i="1" s="1"/>
  <c r="B132" i="1" s="1"/>
  <c r="D132" i="1" l="1"/>
  <c r="E132" i="1" s="1"/>
  <c r="F132" i="1" s="1"/>
  <c r="G132" i="1" s="1"/>
  <c r="B133" i="1" s="1"/>
  <c r="H132" i="1"/>
  <c r="H133" i="1" l="1"/>
  <c r="D133" i="1"/>
  <c r="E133" i="1" s="1"/>
  <c r="F133" i="1" s="1"/>
  <c r="G133" i="1" s="1"/>
  <c r="B134" i="1" s="1"/>
  <c r="H134" i="1" l="1"/>
  <c r="D134" i="1"/>
  <c r="E134" i="1" s="1"/>
  <c r="F134" i="1" s="1"/>
  <c r="G134" i="1" s="1"/>
  <c r="B135" i="1" s="1"/>
  <c r="D135" i="1" l="1"/>
  <c r="E135" i="1" s="1"/>
  <c r="F135" i="1" s="1"/>
  <c r="G135" i="1" s="1"/>
  <c r="B136" i="1" s="1"/>
  <c r="H135" i="1"/>
  <c r="D136" i="1" l="1"/>
  <c r="E136" i="1" s="1"/>
  <c r="F136" i="1" s="1"/>
  <c r="G136" i="1" s="1"/>
  <c r="B137" i="1" s="1"/>
  <c r="H136" i="1"/>
  <c r="D137" i="1" l="1"/>
  <c r="E137" i="1" s="1"/>
  <c r="F137" i="1" s="1"/>
  <c r="G137" i="1" s="1"/>
  <c r="B138" i="1" s="1"/>
  <c r="H137" i="1"/>
  <c r="D138" i="1" l="1"/>
  <c r="E138" i="1" s="1"/>
  <c r="F138" i="1" s="1"/>
  <c r="G138" i="1" s="1"/>
  <c r="B139" i="1" s="1"/>
  <c r="H138" i="1"/>
  <c r="D139" i="1" l="1"/>
  <c r="E139" i="1" s="1"/>
  <c r="F139" i="1" s="1"/>
  <c r="G139" i="1" s="1"/>
  <c r="B140" i="1" s="1"/>
  <c r="H139" i="1"/>
  <c r="D140" i="1" l="1"/>
  <c r="E140" i="1" s="1"/>
  <c r="F140" i="1" s="1"/>
  <c r="G140" i="1" s="1"/>
  <c r="B141" i="1" s="1"/>
  <c r="H140" i="1"/>
  <c r="D141" i="1" l="1"/>
  <c r="E141" i="1" s="1"/>
  <c r="F141" i="1" s="1"/>
  <c r="G141" i="1" s="1"/>
  <c r="B142" i="1" s="1"/>
  <c r="H141" i="1"/>
  <c r="H142" i="1" l="1"/>
  <c r="D142" i="1"/>
  <c r="E142" i="1" s="1"/>
  <c r="F142" i="1" s="1"/>
  <c r="G142" i="1" s="1"/>
  <c r="B143" i="1" s="1"/>
  <c r="D143" i="1" l="1"/>
  <c r="E143" i="1" s="1"/>
  <c r="F143" i="1" s="1"/>
  <c r="G143" i="1" s="1"/>
  <c r="B144" i="1" s="1"/>
  <c r="H143" i="1"/>
  <c r="D144" i="1" l="1"/>
  <c r="E144" i="1" s="1"/>
  <c r="F144" i="1" s="1"/>
  <c r="G144" i="1" s="1"/>
  <c r="B145" i="1" s="1"/>
  <c r="H144" i="1"/>
  <c r="D145" i="1" l="1"/>
  <c r="E145" i="1" s="1"/>
  <c r="F145" i="1" s="1"/>
  <c r="G145" i="1" s="1"/>
  <c r="B146" i="1" s="1"/>
  <c r="H145" i="1"/>
  <c r="H146" i="1" l="1"/>
  <c r="D146" i="1"/>
  <c r="E146" i="1" s="1"/>
  <c r="F146" i="1" s="1"/>
  <c r="G146" i="1" s="1"/>
  <c r="B147" i="1" s="1"/>
  <c r="D147" i="1" l="1"/>
  <c r="E147" i="1" s="1"/>
  <c r="F147" i="1" s="1"/>
  <c r="G147" i="1" s="1"/>
  <c r="B148" i="1" s="1"/>
  <c r="H147" i="1"/>
  <c r="D148" i="1" l="1"/>
  <c r="E148" i="1" s="1"/>
  <c r="F148" i="1" s="1"/>
  <c r="G148" i="1" s="1"/>
  <c r="B149" i="1" s="1"/>
  <c r="H148" i="1"/>
  <c r="D149" i="1" l="1"/>
  <c r="E149" i="1" s="1"/>
  <c r="F149" i="1" s="1"/>
  <c r="G149" i="1" s="1"/>
  <c r="B150" i="1" s="1"/>
  <c r="H149" i="1"/>
  <c r="H150" i="1" l="1"/>
  <c r="D150" i="1"/>
  <c r="E150" i="1" s="1"/>
  <c r="F150" i="1" s="1"/>
  <c r="G150" i="1" s="1"/>
  <c r="B151" i="1" s="1"/>
  <c r="H151" i="1" l="1"/>
  <c r="D151" i="1"/>
  <c r="E151" i="1" s="1"/>
  <c r="F151" i="1" s="1"/>
  <c r="G151" i="1" s="1"/>
  <c r="B152" i="1" s="1"/>
  <c r="H152" i="1" l="1"/>
  <c r="D152" i="1"/>
  <c r="E152" i="1" s="1"/>
  <c r="F152" i="1" s="1"/>
  <c r="G152" i="1" s="1"/>
  <c r="B153" i="1" s="1"/>
  <c r="D153" i="1" l="1"/>
  <c r="E153" i="1" s="1"/>
  <c r="F153" i="1" s="1"/>
  <c r="G153" i="1" s="1"/>
  <c r="B154" i="1" s="1"/>
  <c r="H153" i="1"/>
  <c r="D154" i="1" l="1"/>
  <c r="E154" i="1" s="1"/>
  <c r="F154" i="1" s="1"/>
  <c r="G154" i="1" s="1"/>
  <c r="B155" i="1" s="1"/>
  <c r="H154" i="1"/>
  <c r="D155" i="1" l="1"/>
  <c r="E155" i="1" s="1"/>
  <c r="F155" i="1" s="1"/>
  <c r="G155" i="1" s="1"/>
  <c r="B156" i="1" s="1"/>
  <c r="H155" i="1"/>
  <c r="D156" i="1" l="1"/>
  <c r="E156" i="1" s="1"/>
  <c r="F156" i="1" s="1"/>
  <c r="G156" i="1" s="1"/>
  <c r="B157" i="1" s="1"/>
  <c r="H156" i="1"/>
  <c r="D157" i="1" l="1"/>
  <c r="E157" i="1" s="1"/>
  <c r="F157" i="1" s="1"/>
  <c r="G157" i="1" s="1"/>
  <c r="B158" i="1" s="1"/>
  <c r="H157" i="1"/>
  <c r="D158" i="1" l="1"/>
  <c r="E158" i="1" s="1"/>
  <c r="F158" i="1" s="1"/>
  <c r="G158" i="1" s="1"/>
  <c r="B159" i="1" s="1"/>
  <c r="H158" i="1"/>
  <c r="D159" i="1" l="1"/>
  <c r="E159" i="1" s="1"/>
  <c r="F159" i="1" s="1"/>
  <c r="G159" i="1" s="1"/>
  <c r="B160" i="1" s="1"/>
  <c r="H159" i="1"/>
  <c r="D160" i="1" l="1"/>
  <c r="E160" i="1" s="1"/>
  <c r="F160" i="1" s="1"/>
  <c r="G160" i="1" s="1"/>
  <c r="B161" i="1" s="1"/>
  <c r="H160" i="1"/>
  <c r="D161" i="1" l="1"/>
  <c r="E161" i="1" s="1"/>
  <c r="F161" i="1" s="1"/>
  <c r="G161" i="1" s="1"/>
  <c r="B162" i="1" s="1"/>
  <c r="H161" i="1"/>
  <c r="H162" i="1" l="1"/>
  <c r="D162" i="1"/>
  <c r="E162" i="1" s="1"/>
  <c r="F162" i="1" s="1"/>
  <c r="G162" i="1" s="1"/>
  <c r="B163" i="1" s="1"/>
  <c r="H163" i="1" l="1"/>
  <c r="D163" i="1"/>
  <c r="E163" i="1" s="1"/>
  <c r="F163" i="1" s="1"/>
  <c r="G163" i="1" s="1"/>
  <c r="B164" i="1" s="1"/>
  <c r="H164" i="1" l="1"/>
  <c r="D164" i="1"/>
  <c r="E164" i="1" s="1"/>
  <c r="F164" i="1" s="1"/>
  <c r="G164" i="1" s="1"/>
  <c r="B165" i="1" s="1"/>
  <c r="H165" i="1" l="1"/>
  <c r="D165" i="1"/>
  <c r="E165" i="1" s="1"/>
  <c r="F165" i="1" s="1"/>
  <c r="G165" i="1" s="1"/>
  <c r="B166" i="1" s="1"/>
  <c r="H166" i="1" l="1"/>
  <c r="D166" i="1"/>
  <c r="E166" i="1" s="1"/>
  <c r="F166" i="1" s="1"/>
  <c r="G166" i="1" s="1"/>
  <c r="B167" i="1" s="1"/>
  <c r="H167" i="1" l="1"/>
  <c r="D167" i="1"/>
  <c r="E167" i="1" s="1"/>
  <c r="F167" i="1" s="1"/>
  <c r="G167" i="1" s="1"/>
  <c r="B168" i="1" s="1"/>
  <c r="H168" i="1" l="1"/>
  <c r="D168" i="1"/>
  <c r="E168" i="1" s="1"/>
  <c r="F168" i="1" s="1"/>
  <c r="G168" i="1" s="1"/>
  <c r="B169" i="1" s="1"/>
  <c r="H169" i="1" l="1"/>
  <c r="D169" i="1"/>
  <c r="E169" i="1" s="1"/>
  <c r="F169" i="1" s="1"/>
  <c r="G169" i="1" s="1"/>
  <c r="B170" i="1" s="1"/>
  <c r="H170" i="1" l="1"/>
  <c r="D170" i="1"/>
  <c r="E170" i="1" s="1"/>
  <c r="F170" i="1" s="1"/>
  <c r="G170" i="1" s="1"/>
  <c r="B171" i="1" s="1"/>
  <c r="H171" i="1" l="1"/>
  <c r="D171" i="1"/>
  <c r="E171" i="1" s="1"/>
  <c r="F171" i="1" s="1"/>
  <c r="G171" i="1" s="1"/>
  <c r="B172" i="1" s="1"/>
  <c r="H172" i="1" l="1"/>
  <c r="D172" i="1"/>
  <c r="E172" i="1" s="1"/>
  <c r="F172" i="1" s="1"/>
  <c r="G172" i="1" s="1"/>
  <c r="B173" i="1" s="1"/>
  <c r="H173" i="1" l="1"/>
  <c r="D173" i="1"/>
  <c r="E173" i="1" s="1"/>
  <c r="F173" i="1" s="1"/>
  <c r="G173" i="1" s="1"/>
  <c r="B174" i="1" s="1"/>
  <c r="H174" i="1" l="1"/>
  <c r="D174" i="1"/>
  <c r="E174" i="1" s="1"/>
  <c r="F174" i="1" s="1"/>
  <c r="G174" i="1" s="1"/>
  <c r="B175" i="1" s="1"/>
  <c r="H175" i="1" l="1"/>
  <c r="D175" i="1"/>
  <c r="E175" i="1" s="1"/>
  <c r="F175" i="1" s="1"/>
  <c r="G175" i="1" s="1"/>
  <c r="B176" i="1" s="1"/>
  <c r="H176" i="1" l="1"/>
  <c r="D176" i="1"/>
  <c r="E176" i="1" s="1"/>
  <c r="F176" i="1" s="1"/>
  <c r="G176" i="1" s="1"/>
  <c r="B177" i="1" s="1"/>
  <c r="D177" i="1" l="1"/>
  <c r="E177" i="1" s="1"/>
  <c r="F177" i="1" s="1"/>
  <c r="G177" i="1" s="1"/>
  <c r="B178" i="1" s="1"/>
  <c r="H177" i="1"/>
  <c r="H178" i="1" l="1"/>
  <c r="D178" i="1"/>
  <c r="E178" i="1" s="1"/>
  <c r="F178" i="1" s="1"/>
  <c r="G178" i="1" s="1"/>
  <c r="B179" i="1" s="1"/>
  <c r="H179" i="1" l="1"/>
  <c r="D179" i="1"/>
  <c r="E179" i="1" s="1"/>
  <c r="F179" i="1" s="1"/>
  <c r="G179" i="1" s="1"/>
  <c r="B180" i="1" s="1"/>
  <c r="H180" i="1" l="1"/>
  <c r="D180" i="1"/>
  <c r="E180" i="1" s="1"/>
  <c r="F180" i="1" s="1"/>
  <c r="G180" i="1" s="1"/>
  <c r="B181" i="1" s="1"/>
  <c r="H181" i="1" l="1"/>
  <c r="D181" i="1"/>
  <c r="E181" i="1" s="1"/>
  <c r="F181" i="1" s="1"/>
  <c r="G181" i="1" s="1"/>
  <c r="B182" i="1" s="1"/>
  <c r="D182" i="1" l="1"/>
  <c r="E182" i="1" s="1"/>
  <c r="F182" i="1" s="1"/>
  <c r="G182" i="1" s="1"/>
  <c r="B183" i="1" s="1"/>
  <c r="H182" i="1"/>
  <c r="D183" i="1" l="1"/>
  <c r="E183" i="1" s="1"/>
  <c r="F183" i="1" s="1"/>
  <c r="G183" i="1" s="1"/>
  <c r="B184" i="1" s="1"/>
  <c r="H183" i="1"/>
  <c r="D184" i="1" l="1"/>
  <c r="E184" i="1" s="1"/>
  <c r="F184" i="1" s="1"/>
  <c r="G184" i="1" s="1"/>
  <c r="B185" i="1" s="1"/>
  <c r="H184" i="1"/>
  <c r="D185" i="1" l="1"/>
  <c r="E185" i="1" s="1"/>
  <c r="F185" i="1" s="1"/>
  <c r="G185" i="1" s="1"/>
  <c r="B186" i="1" s="1"/>
  <c r="H185" i="1"/>
  <c r="H186" i="1" l="1"/>
  <c r="D186" i="1"/>
  <c r="E186" i="1" s="1"/>
  <c r="F186" i="1" s="1"/>
  <c r="G186" i="1" s="1"/>
  <c r="B187" i="1" s="1"/>
  <c r="D187" i="1" l="1"/>
  <c r="E187" i="1" s="1"/>
  <c r="F187" i="1" s="1"/>
  <c r="G187" i="1" s="1"/>
  <c r="B188" i="1" s="1"/>
  <c r="H187" i="1"/>
  <c r="D188" i="1" l="1"/>
  <c r="E188" i="1" s="1"/>
  <c r="F188" i="1" s="1"/>
  <c r="G188" i="1" s="1"/>
  <c r="B189" i="1" s="1"/>
  <c r="H188" i="1"/>
  <c r="D189" i="1" l="1"/>
  <c r="E189" i="1" s="1"/>
  <c r="F189" i="1" s="1"/>
  <c r="G189" i="1" s="1"/>
  <c r="B190" i="1" s="1"/>
  <c r="H189" i="1"/>
  <c r="H190" i="1" l="1"/>
  <c r="D190" i="1"/>
  <c r="E190" i="1" s="1"/>
  <c r="F190" i="1" s="1"/>
  <c r="G190" i="1" s="1"/>
  <c r="B191" i="1" s="1"/>
  <c r="H191" i="1" l="1"/>
  <c r="D191" i="1"/>
  <c r="E191" i="1" s="1"/>
  <c r="F191" i="1" s="1"/>
  <c r="G191" i="1" s="1"/>
  <c r="B192" i="1" s="1"/>
  <c r="H192" i="1" l="1"/>
  <c r="D192" i="1"/>
  <c r="E192" i="1" s="1"/>
  <c r="F192" i="1" s="1"/>
  <c r="G192" i="1" s="1"/>
  <c r="B193" i="1" s="1"/>
  <c r="H193" i="1" l="1"/>
  <c r="D193" i="1"/>
  <c r="E193" i="1" s="1"/>
  <c r="F193" i="1" s="1"/>
  <c r="G193" i="1" s="1"/>
  <c r="B194" i="1" s="1"/>
  <c r="H194" i="1" l="1"/>
  <c r="D194" i="1"/>
  <c r="E194" i="1" s="1"/>
  <c r="F194" i="1" s="1"/>
  <c r="G194" i="1" s="1"/>
  <c r="B195" i="1" s="1"/>
  <c r="D195" i="1" l="1"/>
  <c r="E195" i="1" s="1"/>
  <c r="F195" i="1" s="1"/>
  <c r="G195" i="1" s="1"/>
  <c r="H195" i="1"/>
  <c r="B196" i="1" l="1"/>
  <c r="G6" i="1"/>
  <c r="J5" i="1" s="1"/>
  <c r="D196" i="1" l="1"/>
  <c r="E196" i="1" s="1"/>
  <c r="F196" i="1" s="1"/>
  <c r="G196" i="1" s="1"/>
  <c r="B197" i="1" s="1"/>
  <c r="H196" i="1"/>
  <c r="D197" i="1" l="1"/>
  <c r="E197" i="1" s="1"/>
  <c r="F197" i="1" s="1"/>
  <c r="G197" i="1" s="1"/>
  <c r="B198" i="1" s="1"/>
  <c r="H197" i="1"/>
  <c r="H198" i="1" l="1"/>
  <c r="D198" i="1"/>
  <c r="E198" i="1" s="1"/>
  <c r="F198" i="1" s="1"/>
  <c r="G198" i="1" s="1"/>
  <c r="B199" i="1" s="1"/>
  <c r="H199" i="1" l="1"/>
  <c r="D199" i="1"/>
  <c r="E199" i="1" s="1"/>
  <c r="F199" i="1" s="1"/>
  <c r="G199" i="1" s="1"/>
  <c r="B200" i="1" s="1"/>
  <c r="D200" i="1" l="1"/>
  <c r="E200" i="1" s="1"/>
  <c r="F200" i="1" s="1"/>
  <c r="G200" i="1" s="1"/>
  <c r="B201" i="1" s="1"/>
  <c r="H200" i="1"/>
  <c r="H201" i="1" l="1"/>
  <c r="D201" i="1"/>
  <c r="E201" i="1" s="1"/>
  <c r="F201" i="1" s="1"/>
  <c r="G201" i="1" s="1"/>
  <c r="B202" i="1" s="1"/>
  <c r="H202" i="1" l="1"/>
  <c r="D202" i="1"/>
  <c r="E202" i="1" s="1"/>
  <c r="F202" i="1" s="1"/>
  <c r="G202" i="1" s="1"/>
  <c r="B203" i="1" s="1"/>
  <c r="D203" i="1" l="1"/>
  <c r="E203" i="1" s="1"/>
  <c r="F203" i="1" s="1"/>
  <c r="G203" i="1" s="1"/>
  <c r="B204" i="1" s="1"/>
  <c r="H203" i="1"/>
  <c r="H204" i="1" l="1"/>
  <c r="D204" i="1"/>
  <c r="E204" i="1" s="1"/>
  <c r="F204" i="1" s="1"/>
  <c r="G204" i="1" s="1"/>
  <c r="B205" i="1" s="1"/>
  <c r="H205" i="1" l="1"/>
  <c r="D205" i="1"/>
  <c r="E205" i="1" s="1"/>
  <c r="F205" i="1" s="1"/>
  <c r="G205" i="1" s="1"/>
  <c r="B206" i="1" s="1"/>
  <c r="H206" i="1" l="1"/>
  <c r="D206" i="1"/>
  <c r="E206" i="1" s="1"/>
  <c r="F206" i="1" s="1"/>
  <c r="G206" i="1" s="1"/>
  <c r="B207" i="1" s="1"/>
  <c r="H207" i="1" l="1"/>
  <c r="D207" i="1"/>
  <c r="E207" i="1" s="1"/>
  <c r="F207" i="1" s="1"/>
  <c r="G207" i="1" s="1"/>
  <c r="B208" i="1" s="1"/>
  <c r="H208" i="1" l="1"/>
  <c r="D208" i="1"/>
  <c r="E208" i="1" s="1"/>
  <c r="F208" i="1" s="1"/>
  <c r="G208" i="1" s="1"/>
  <c r="B209" i="1" s="1"/>
  <c r="H209" i="1" l="1"/>
  <c r="D209" i="1"/>
  <c r="E209" i="1" s="1"/>
  <c r="F209" i="1" s="1"/>
  <c r="G209" i="1" s="1"/>
  <c r="B210" i="1" s="1"/>
  <c r="H210" i="1" l="1"/>
  <c r="D210" i="1"/>
  <c r="E210" i="1" s="1"/>
  <c r="F210" i="1" s="1"/>
  <c r="G210" i="1" s="1"/>
</calcChain>
</file>

<file path=xl/sharedStrings.xml><?xml version="1.0" encoding="utf-8"?>
<sst xmlns="http://schemas.openxmlformats.org/spreadsheetml/2006/main" count="22" uniqueCount="22">
  <si>
    <t>aUp</t>
  </si>
  <si>
    <t>vOld</t>
  </si>
  <si>
    <t>vnow</t>
  </si>
  <si>
    <t>mDot</t>
  </si>
  <si>
    <t>wdry</t>
  </si>
  <si>
    <t>wWet</t>
  </si>
  <si>
    <t>isp</t>
  </si>
  <si>
    <t>t</t>
  </si>
  <si>
    <t>mTot</t>
  </si>
  <si>
    <t>TtoW</t>
  </si>
  <si>
    <t>fdRag</t>
  </si>
  <si>
    <t>cd</t>
  </si>
  <si>
    <t>diameter</t>
  </si>
  <si>
    <t>fTot</t>
  </si>
  <si>
    <t>tstep</t>
  </si>
  <si>
    <t>ypos</t>
  </si>
  <si>
    <t>(Wtotal * (1-deadWeight) ) / mdot = Thrust time</t>
  </si>
  <si>
    <t>endTime</t>
  </si>
  <si>
    <t>Thrust / (isp * g) = mdot</t>
  </si>
  <si>
    <t>vFin</t>
  </si>
  <si>
    <t>altFin</t>
  </si>
  <si>
    <t>thrust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</si>
</sst>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F943F-603A-4DFB-8089-952A0FD3F1B1}">
  <dimension ref="A1:J210"/>
  <sheetViews>
    <sheetView tabSelected="1" zoomScale="108" workbookViewId="0">
      <selection activeCell="J6" sqref="J6"/>
    </sheetView>
  </sheetViews>
  <sheetFormatPr defaultRowHeight="14.4" x14ac:dyDescent="0.3"/>
  <sheetData>
    <row r="1" spans="1:10" x14ac:dyDescent="0.3">
      <c r="B1" t="s">
        <v>9</v>
      </c>
      <c r="C1">
        <v>5</v>
      </c>
      <c r="D1" t="s">
        <v>11</v>
      </c>
      <c r="E1">
        <v>0.13700000000000001</v>
      </c>
    </row>
    <row r="2" spans="1:10" x14ac:dyDescent="0.3">
      <c r="B2" t="s">
        <v>6</v>
      </c>
      <c r="C2">
        <v>100</v>
      </c>
      <c r="D2" t="s">
        <v>12</v>
      </c>
      <c r="E2">
        <f>CONVERT(8,"in","m")</f>
        <v>0.20319999999999999</v>
      </c>
      <c r="F2" t="s">
        <v>18</v>
      </c>
    </row>
    <row r="3" spans="1:10" x14ac:dyDescent="0.3">
      <c r="B3" t="s">
        <v>3</v>
      </c>
      <c r="C3">
        <f>E8/(C2*9.181)</f>
        <v>4.0000000000000009</v>
      </c>
      <c r="F3" t="s">
        <v>16</v>
      </c>
    </row>
    <row r="4" spans="1:10" x14ac:dyDescent="0.3">
      <c r="B4" t="s">
        <v>4</v>
      </c>
      <c r="C4">
        <v>70</v>
      </c>
      <c r="E4" t="s">
        <v>17</v>
      </c>
      <c r="F4">
        <f>ROUND(C5/C3,0)</f>
        <v>8</v>
      </c>
      <c r="J4">
        <f>E1*1.037*E2^2*PI()/8</f>
        <v>2.3035975951328771E-3</v>
      </c>
    </row>
    <row r="5" spans="1:10" x14ac:dyDescent="0.3">
      <c r="A5" t="s">
        <v>14</v>
      </c>
      <c r="B5" t="s">
        <v>5</v>
      </c>
      <c r="C5">
        <v>30</v>
      </c>
      <c r="G5" t="s">
        <v>19</v>
      </c>
      <c r="H5" t="s">
        <v>20</v>
      </c>
      <c r="J5">
        <f>1/(2*J4)*LN(1+J4/9.181*G6^2)</f>
        <v>769.41881911090945</v>
      </c>
    </row>
    <row r="6" spans="1:10" x14ac:dyDescent="0.3">
      <c r="A6">
        <v>0.25</v>
      </c>
      <c r="C6" t="s">
        <v>21</v>
      </c>
      <c r="D6">
        <f>C1*C8*9.181</f>
        <v>4590.5</v>
      </c>
      <c r="G6">
        <f>VLOOKUP(F4,A8:G999,7,FALSE)</f>
        <v>366.13137227021093</v>
      </c>
      <c r="H6">
        <f>VLOOKUP(F4,A8:H999,8,FALSE)</f>
        <v>1307.2645843912387</v>
      </c>
    </row>
    <row r="7" spans="1:10" x14ac:dyDescent="0.3">
      <c r="A7" t="s">
        <v>7</v>
      </c>
      <c r="B7" t="s">
        <v>1</v>
      </c>
      <c r="C7" t="s">
        <v>8</v>
      </c>
      <c r="D7" t="s">
        <v>10</v>
      </c>
      <c r="E7" t="s">
        <v>13</v>
      </c>
      <c r="F7" t="s">
        <v>0</v>
      </c>
      <c r="G7" t="s">
        <v>2</v>
      </c>
      <c r="H7" t="s">
        <v>15</v>
      </c>
    </row>
    <row r="8" spans="1:10" s="1" customFormat="1" x14ac:dyDescent="0.3">
      <c r="A8" s="1">
        <f>A6</f>
        <v>0.25</v>
      </c>
      <c r="B8" s="1">
        <v>0</v>
      </c>
      <c r="C8" s="1">
        <f>$C$4+$C$5</f>
        <v>100</v>
      </c>
      <c r="D8" s="1">
        <f>-0.5*1.204*B8*$E$2^2*PI()/4</f>
        <v>0</v>
      </c>
      <c r="E8" s="1">
        <f>D8+$D$6-C8*9.181</f>
        <v>3672.4</v>
      </c>
      <c r="F8" s="1">
        <f>E8/C8</f>
        <v>36.724000000000004</v>
      </c>
      <c r="G8" s="1">
        <f>F8*$A$6</f>
        <v>9.1810000000000009</v>
      </c>
      <c r="H8" s="1">
        <v>0</v>
      </c>
    </row>
    <row r="9" spans="1:10" x14ac:dyDescent="0.3">
      <c r="A9">
        <f>$A$6+A8</f>
        <v>0.5</v>
      </c>
      <c r="B9">
        <f>G8</f>
        <v>9.1810000000000009</v>
      </c>
      <c r="C9">
        <f>C8-(A9-A8)*$C$3</f>
        <v>99</v>
      </c>
      <c r="D9" s="2">
        <f t="shared" ref="D9:D72" si="0">-0.5*1.204*B9*$E$2^2*PI()/4</f>
        <v>-0.17923539085361051</v>
      </c>
      <c r="E9">
        <f>D9+$D$6-C9*9.181</f>
        <v>3681.4017646091461</v>
      </c>
      <c r="F9" s="2">
        <f>E9/C9</f>
        <v>37.185876410193394</v>
      </c>
      <c r="G9" s="2">
        <f>F9*$A$6+B9</f>
        <v>18.477469102548348</v>
      </c>
      <c r="H9">
        <f>B9*$A$6+H8</f>
        <v>2.2952500000000002</v>
      </c>
    </row>
    <row r="10" spans="1:10" x14ac:dyDescent="0.3">
      <c r="A10">
        <f t="shared" ref="A10:A73" si="1">$A$6+A9</f>
        <v>0.75</v>
      </c>
      <c r="B10">
        <f t="shared" ref="B10:B73" si="2">G9</f>
        <v>18.477469102548348</v>
      </c>
      <c r="C10">
        <f t="shared" ref="C10:C73" si="3">C9-(A10-A9)*$C$3</f>
        <v>98</v>
      </c>
      <c r="D10" s="2">
        <f t="shared" si="0"/>
        <v>-0.36072501868867929</v>
      </c>
      <c r="E10">
        <f t="shared" ref="E10:E73" si="4">D10+$D$6-C10*9.181</f>
        <v>3690.4012749813114</v>
      </c>
      <c r="F10" s="2">
        <f t="shared" ref="F10:F73" si="5">E10/C10</f>
        <v>37.657155867156241</v>
      </c>
      <c r="G10" s="2">
        <f t="shared" ref="G10:G73" si="6">F10*$A$6+B10</f>
        <v>27.891758069337406</v>
      </c>
      <c r="H10">
        <f t="shared" ref="H10:H73" si="7">B10*$A$6+H9</f>
        <v>6.9146172756370872</v>
      </c>
    </row>
    <row r="11" spans="1:10" x14ac:dyDescent="0.3">
      <c r="A11">
        <f t="shared" si="1"/>
        <v>1</v>
      </c>
      <c r="B11">
        <f t="shared" si="2"/>
        <v>27.891758069337406</v>
      </c>
      <c r="C11">
        <f t="shared" si="3"/>
        <v>97</v>
      </c>
      <c r="D11" s="2">
        <f t="shared" si="0"/>
        <v>-0.54451477607581256</v>
      </c>
      <c r="E11">
        <f t="shared" si="4"/>
        <v>3699.3984852239246</v>
      </c>
      <c r="F11" s="2">
        <f t="shared" si="5"/>
        <v>38.138128713648705</v>
      </c>
      <c r="G11" s="2">
        <f t="shared" si="6"/>
        <v>37.426290247749584</v>
      </c>
      <c r="H11">
        <f t="shared" si="7"/>
        <v>13.887556792971438</v>
      </c>
    </row>
    <row r="12" spans="1:10" x14ac:dyDescent="0.3">
      <c r="A12">
        <f t="shared" si="1"/>
        <v>1.25</v>
      </c>
      <c r="B12">
        <f t="shared" si="2"/>
        <v>37.426290247749584</v>
      </c>
      <c r="C12">
        <f t="shared" si="3"/>
        <v>96</v>
      </c>
      <c r="D12" s="2">
        <f t="shared" si="0"/>
        <v>-0.73065197263436099</v>
      </c>
      <c r="E12">
        <f t="shared" si="4"/>
        <v>3708.3933480273654</v>
      </c>
      <c r="F12" s="2">
        <f t="shared" si="5"/>
        <v>38.629097375285056</v>
      </c>
      <c r="G12" s="2">
        <f t="shared" si="6"/>
        <v>47.083564591570848</v>
      </c>
      <c r="H12">
        <f t="shared" si="7"/>
        <v>23.244129354908836</v>
      </c>
    </row>
    <row r="13" spans="1:10" x14ac:dyDescent="0.3">
      <c r="A13">
        <f t="shared" si="1"/>
        <v>1.5</v>
      </c>
      <c r="B13">
        <f t="shared" si="2"/>
        <v>47.083564591570848</v>
      </c>
      <c r="C13">
        <f t="shared" si="3"/>
        <v>95</v>
      </c>
      <c r="D13" s="2">
        <f t="shared" si="0"/>
        <v>-0.91918539400407551</v>
      </c>
      <c r="E13">
        <f t="shared" si="4"/>
        <v>3717.3858146059965</v>
      </c>
      <c r="F13" s="2">
        <f t="shared" si="5"/>
        <v>39.130376995852593</v>
      </c>
      <c r="G13" s="2">
        <f t="shared" si="6"/>
        <v>56.866158840533998</v>
      </c>
      <c r="H13">
        <f t="shared" si="7"/>
        <v>35.015020502801548</v>
      </c>
    </row>
    <row r="14" spans="1:10" x14ac:dyDescent="0.3">
      <c r="A14">
        <f t="shared" si="1"/>
        <v>1.75</v>
      </c>
      <c r="B14">
        <f t="shared" si="2"/>
        <v>56.866158840533998</v>
      </c>
      <c r="C14">
        <f t="shared" si="3"/>
        <v>94</v>
      </c>
      <c r="D14" s="2">
        <f t="shared" si="0"/>
        <v>-1.1101653639175044</v>
      </c>
      <c r="E14">
        <f t="shared" si="4"/>
        <v>3726.3758346360828</v>
      </c>
      <c r="F14" s="2">
        <f t="shared" si="5"/>
        <v>39.642296113149818</v>
      </c>
      <c r="G14" s="2">
        <f t="shared" si="6"/>
        <v>66.776732868821455</v>
      </c>
      <c r="H14">
        <f t="shared" si="7"/>
        <v>49.231560212935051</v>
      </c>
    </row>
    <row r="15" spans="1:10" x14ac:dyDescent="0.3">
      <c r="A15">
        <f t="shared" si="1"/>
        <v>2</v>
      </c>
      <c r="B15">
        <f t="shared" si="2"/>
        <v>66.776732868821455</v>
      </c>
      <c r="C15">
        <f t="shared" si="3"/>
        <v>93</v>
      </c>
      <c r="D15" s="2">
        <f t="shared" si="0"/>
        <v>-1.3036438095708913</v>
      </c>
      <c r="E15">
        <f t="shared" si="4"/>
        <v>3735.3633561904294</v>
      </c>
      <c r="F15" s="2">
        <f t="shared" si="5"/>
        <v>40.165197378391717</v>
      </c>
      <c r="G15" s="2">
        <f t="shared" si="6"/>
        <v>76.818032213419386</v>
      </c>
      <c r="H15">
        <f t="shared" si="7"/>
        <v>65.925743430140415</v>
      </c>
    </row>
    <row r="16" spans="1:10" x14ac:dyDescent="0.3">
      <c r="A16">
        <f t="shared" si="1"/>
        <v>2.25</v>
      </c>
      <c r="B16">
        <f t="shared" si="2"/>
        <v>76.818032213419386</v>
      </c>
      <c r="C16">
        <f t="shared" si="3"/>
        <v>92</v>
      </c>
      <c r="D16" s="2">
        <f t="shared" si="0"/>
        <v>-1.4996743305062048</v>
      </c>
      <c r="E16">
        <f t="shared" si="4"/>
        <v>3744.3483256694935</v>
      </c>
      <c r="F16" s="2">
        <f t="shared" si="5"/>
        <v>40.699438322494494</v>
      </c>
      <c r="G16" s="2">
        <f t="shared" si="6"/>
        <v>86.992891794043004</v>
      </c>
      <c r="H16">
        <f t="shared" si="7"/>
        <v>85.130251483495258</v>
      </c>
    </row>
    <row r="17" spans="1:8" x14ac:dyDescent="0.3">
      <c r="A17">
        <f t="shared" si="1"/>
        <v>2.5</v>
      </c>
      <c r="B17">
        <f t="shared" si="2"/>
        <v>86.992891794043004</v>
      </c>
      <c r="C17">
        <f t="shared" si="3"/>
        <v>91</v>
      </c>
      <c r="D17" s="2">
        <f t="shared" si="0"/>
        <v>-1.6983122712331056</v>
      </c>
      <c r="E17">
        <f t="shared" si="4"/>
        <v>3753.3306877287673</v>
      </c>
      <c r="F17" s="2">
        <f t="shared" si="5"/>
        <v>41.245392172843594</v>
      </c>
      <c r="G17" s="2">
        <f t="shared" si="6"/>
        <v>97.304239837253903</v>
      </c>
      <c r="H17">
        <f t="shared" si="7"/>
        <v>106.87847443200602</v>
      </c>
    </row>
    <row r="18" spans="1:8" x14ac:dyDescent="0.3">
      <c r="A18">
        <f t="shared" si="1"/>
        <v>2.75</v>
      </c>
      <c r="B18">
        <f t="shared" si="2"/>
        <v>97.304239837253903</v>
      </c>
      <c r="C18">
        <f t="shared" si="3"/>
        <v>90</v>
      </c>
      <c r="D18" s="2">
        <f t="shared" si="0"/>
        <v>-1.8996147978372357</v>
      </c>
      <c r="E18">
        <f t="shared" si="4"/>
        <v>3762.3103852021632</v>
      </c>
      <c r="F18" s="2">
        <f t="shared" si="5"/>
        <v>41.803448724468481</v>
      </c>
      <c r="G18" s="2">
        <f t="shared" si="6"/>
        <v>107.75510201837102</v>
      </c>
      <c r="H18">
        <f t="shared" si="7"/>
        <v>131.2045343913195</v>
      </c>
    </row>
    <row r="19" spans="1:8" x14ac:dyDescent="0.3">
      <c r="A19">
        <f t="shared" si="1"/>
        <v>3</v>
      </c>
      <c r="B19">
        <f t="shared" si="2"/>
        <v>107.75510201837102</v>
      </c>
      <c r="C19">
        <f t="shared" si="3"/>
        <v>89</v>
      </c>
      <c r="D19" s="2">
        <f t="shared" si="0"/>
        <v>-2.1036409788403665</v>
      </c>
      <c r="E19">
        <f t="shared" si="4"/>
        <v>3771.2873590211598</v>
      </c>
      <c r="F19" s="2">
        <f t="shared" si="5"/>
        <v>42.374015269900674</v>
      </c>
      <c r="G19" s="2">
        <f t="shared" si="6"/>
        <v>118.34860583584619</v>
      </c>
      <c r="H19">
        <f t="shared" si="7"/>
        <v>158.14330989591224</v>
      </c>
    </row>
    <row r="20" spans="1:8" x14ac:dyDescent="0.3">
      <c r="A20">
        <f t="shared" si="1"/>
        <v>3.25</v>
      </c>
      <c r="B20">
        <f t="shared" si="2"/>
        <v>118.34860583584619</v>
      </c>
      <c r="C20">
        <f t="shared" si="3"/>
        <v>88</v>
      </c>
      <c r="D20" s="2">
        <f t="shared" si="0"/>
        <v>-2.3104518705988211</v>
      </c>
      <c r="E20">
        <f t="shared" si="4"/>
        <v>3780.2615481294015</v>
      </c>
      <c r="F20" s="2">
        <f t="shared" si="5"/>
        <v>42.95751759237956</v>
      </c>
      <c r="G20" s="2">
        <f t="shared" si="6"/>
        <v>129.08798523394108</v>
      </c>
      <c r="H20">
        <f t="shared" si="7"/>
        <v>187.7304613548738</v>
      </c>
    </row>
    <row r="21" spans="1:8" x14ac:dyDescent="0.3">
      <c r="A21">
        <f t="shared" si="1"/>
        <v>3.5</v>
      </c>
      <c r="B21">
        <f t="shared" si="2"/>
        <v>129.08798523394108</v>
      </c>
      <c r="C21">
        <f t="shared" si="3"/>
        <v>87</v>
      </c>
      <c r="D21" s="2">
        <f t="shared" si="0"/>
        <v>-2.5201106075493445</v>
      </c>
      <c r="E21">
        <f t="shared" si="4"/>
        <v>3789.2328893924509</v>
      </c>
      <c r="F21" s="2">
        <f t="shared" si="5"/>
        <v>43.554401027499438</v>
      </c>
      <c r="G21" s="2">
        <f t="shared" si="6"/>
        <v>139.97658549081595</v>
      </c>
      <c r="H21">
        <f t="shared" si="7"/>
        <v>220.00245766335905</v>
      </c>
    </row>
    <row r="22" spans="1:8" x14ac:dyDescent="0.3">
      <c r="A22">
        <f t="shared" si="1"/>
        <v>3.75</v>
      </c>
      <c r="B22">
        <f t="shared" si="2"/>
        <v>139.97658549081595</v>
      </c>
      <c r="C22">
        <f t="shared" si="3"/>
        <v>86</v>
      </c>
      <c r="D22" s="2">
        <f t="shared" si="0"/>
        <v>-2.7326824976364472</v>
      </c>
      <c r="E22">
        <f t="shared" si="4"/>
        <v>3798.201317502364</v>
      </c>
      <c r="F22" s="2">
        <f t="shared" si="5"/>
        <v>44.165131598864697</v>
      </c>
      <c r="G22" s="2">
        <f t="shared" si="6"/>
        <v>151.01786839053213</v>
      </c>
      <c r="H22">
        <f t="shared" si="7"/>
        <v>254.99660403606305</v>
      </c>
    </row>
    <row r="23" spans="1:8" x14ac:dyDescent="0.3">
      <c r="A23">
        <f t="shared" si="1"/>
        <v>4</v>
      </c>
      <c r="B23">
        <f t="shared" si="2"/>
        <v>151.01786839053213</v>
      </c>
      <c r="C23">
        <f t="shared" si="3"/>
        <v>85</v>
      </c>
      <c r="D23" s="2">
        <f t="shared" si="0"/>
        <v>-2.948235123282446</v>
      </c>
      <c r="E23">
        <f t="shared" si="4"/>
        <v>3807.1667648767175</v>
      </c>
      <c r="F23" s="2">
        <f t="shared" si="5"/>
        <v>44.790197233843735</v>
      </c>
      <c r="G23" s="2">
        <f t="shared" si="6"/>
        <v>162.21541769899306</v>
      </c>
      <c r="H23">
        <f t="shared" si="7"/>
        <v>292.75107113369609</v>
      </c>
    </row>
    <row r="24" spans="1:8" x14ac:dyDescent="0.3">
      <c r="A24">
        <f t="shared" si="1"/>
        <v>4.25</v>
      </c>
      <c r="B24">
        <f t="shared" si="2"/>
        <v>162.21541769899306</v>
      </c>
      <c r="C24">
        <f t="shared" si="3"/>
        <v>84</v>
      </c>
      <c r="D24" s="2">
        <f t="shared" si="0"/>
        <v>-3.1668384482911134</v>
      </c>
      <c r="E24">
        <f t="shared" si="4"/>
        <v>3816.1291615517093</v>
      </c>
      <c r="F24" s="2">
        <f t="shared" si="5"/>
        <v>45.430109066091781</v>
      </c>
      <c r="G24" s="2">
        <f t="shared" si="6"/>
        <v>173.572944965516</v>
      </c>
      <c r="H24">
        <f t="shared" si="7"/>
        <v>333.30492555844432</v>
      </c>
    </row>
    <row r="25" spans="1:8" x14ac:dyDescent="0.3">
      <c r="A25">
        <f t="shared" si="1"/>
        <v>4.5</v>
      </c>
      <c r="B25">
        <f t="shared" si="2"/>
        <v>173.572944965516</v>
      </c>
      <c r="C25">
        <f t="shared" si="3"/>
        <v>83</v>
      </c>
      <c r="D25" s="2">
        <f t="shared" si="0"/>
        <v>-3.3885649311084292</v>
      </c>
      <c r="E25">
        <f t="shared" si="4"/>
        <v>3825.0884350688912</v>
      </c>
      <c r="F25" s="2">
        <f t="shared" si="5"/>
        <v>46.085402832155317</v>
      </c>
      <c r="G25" s="2">
        <f t="shared" si="6"/>
        <v>185.09429567355483</v>
      </c>
      <c r="H25">
        <f t="shared" si="7"/>
        <v>376.69816179982331</v>
      </c>
    </row>
    <row r="26" spans="1:8" x14ac:dyDescent="0.3">
      <c r="A26">
        <f t="shared" si="1"/>
        <v>4.75</v>
      </c>
      <c r="B26">
        <f t="shared" si="2"/>
        <v>185.09429567355483</v>
      </c>
      <c r="C26">
        <f t="shared" si="3"/>
        <v>82</v>
      </c>
      <c r="D26" s="2">
        <f t="shared" si="0"/>
        <v>-3.6134896448996128</v>
      </c>
      <c r="E26">
        <f t="shared" si="4"/>
        <v>3834.0445103551006</v>
      </c>
      <c r="F26" s="2">
        <f t="shared" si="5"/>
        <v>46.756640370184151</v>
      </c>
      <c r="G26" s="2">
        <f t="shared" si="6"/>
        <v>196.78345576610087</v>
      </c>
      <c r="H26">
        <f t="shared" si="7"/>
        <v>422.97173571821202</v>
      </c>
    </row>
    <row r="27" spans="1:8" x14ac:dyDescent="0.3">
      <c r="A27">
        <f t="shared" si="1"/>
        <v>5</v>
      </c>
      <c r="B27">
        <f t="shared" si="2"/>
        <v>196.78345576610087</v>
      </c>
      <c r="C27">
        <f t="shared" si="3"/>
        <v>81</v>
      </c>
      <c r="D27" s="2">
        <f t="shared" si="0"/>
        <v>-3.8416904049407758</v>
      </c>
      <c r="E27">
        <f t="shared" si="4"/>
        <v>3842.9973095950591</v>
      </c>
      <c r="F27" s="2">
        <f t="shared" si="5"/>
        <v>47.44441122956863</v>
      </c>
      <c r="G27" s="2">
        <f t="shared" si="6"/>
        <v>208.64455857349304</v>
      </c>
      <c r="H27">
        <f t="shared" si="7"/>
        <v>472.16759965973722</v>
      </c>
    </row>
    <row r="28" spans="1:8" x14ac:dyDescent="0.3">
      <c r="A28">
        <f t="shared" si="1"/>
        <v>5.25</v>
      </c>
      <c r="B28">
        <f t="shared" si="2"/>
        <v>208.64455857349304</v>
      </c>
      <c r="C28">
        <f t="shared" si="3"/>
        <v>80</v>
      </c>
      <c r="D28" s="2">
        <f t="shared" si="0"/>
        <v>-4.0732479038665783</v>
      </c>
      <c r="E28">
        <f t="shared" si="4"/>
        <v>3851.946752096133</v>
      </c>
      <c r="F28" s="2">
        <f t="shared" si="5"/>
        <v>48.149334401201664</v>
      </c>
      <c r="G28" s="2">
        <f t="shared" si="6"/>
        <v>220.68189217379347</v>
      </c>
      <c r="H28">
        <f t="shared" si="7"/>
        <v>524.32873930311052</v>
      </c>
    </row>
    <row r="29" spans="1:8" x14ac:dyDescent="0.3">
      <c r="A29">
        <f t="shared" si="1"/>
        <v>5.5</v>
      </c>
      <c r="B29">
        <f t="shared" si="2"/>
        <v>220.68189217379347</v>
      </c>
      <c r="C29">
        <f t="shared" si="3"/>
        <v>79</v>
      </c>
      <c r="D29" s="2">
        <f t="shared" si="0"/>
        <v>-4.3082458553626184</v>
      </c>
      <c r="E29">
        <f t="shared" si="4"/>
        <v>3860.8927541446374</v>
      </c>
      <c r="F29" s="2">
        <f t="shared" si="5"/>
        <v>48.872060179046045</v>
      </c>
      <c r="G29" s="2">
        <f t="shared" si="6"/>
        <v>232.89990721855497</v>
      </c>
      <c r="H29">
        <f t="shared" si="7"/>
        <v>579.49921234655892</v>
      </c>
    </row>
    <row r="30" spans="1:8" x14ac:dyDescent="0.3">
      <c r="A30">
        <f t="shared" si="1"/>
        <v>5.75</v>
      </c>
      <c r="B30">
        <f t="shared" si="2"/>
        <v>232.89990721855497</v>
      </c>
      <c r="C30">
        <f t="shared" si="3"/>
        <v>78</v>
      </c>
      <c r="D30" s="2">
        <f t="shared" si="0"/>
        <v>-4.5467711469433967</v>
      </c>
      <c r="E30">
        <f t="shared" si="4"/>
        <v>3869.8352288530564</v>
      </c>
      <c r="F30" s="2">
        <f t="shared" si="5"/>
        <v>49.613272164782771</v>
      </c>
      <c r="G30" s="2">
        <f t="shared" si="6"/>
        <v>245.30322525975066</v>
      </c>
      <c r="H30">
        <f t="shared" si="7"/>
        <v>637.72418915119761</v>
      </c>
    </row>
    <row r="31" spans="1:8" x14ac:dyDescent="0.3">
      <c r="A31">
        <f t="shared" si="1"/>
        <v>6</v>
      </c>
      <c r="B31">
        <f t="shared" si="2"/>
        <v>245.30322525975066</v>
      </c>
      <c r="C31">
        <f t="shared" si="3"/>
        <v>77</v>
      </c>
      <c r="D31" s="2">
        <f t="shared" si="0"/>
        <v>-4.7889140025141783</v>
      </c>
      <c r="E31">
        <f t="shared" si="4"/>
        <v>3878.7740859974856</v>
      </c>
      <c r="F31" s="2">
        <f t="shared" si="5"/>
        <v>50.373689428538775</v>
      </c>
      <c r="G31" s="2">
        <f t="shared" si="6"/>
        <v>257.89664761688533</v>
      </c>
      <c r="H31">
        <f t="shared" si="7"/>
        <v>699.04999546613521</v>
      </c>
    </row>
    <row r="32" spans="1:8" x14ac:dyDescent="0.3">
      <c r="A32">
        <f t="shared" si="1"/>
        <v>6.25</v>
      </c>
      <c r="B32">
        <f t="shared" si="2"/>
        <v>257.89664761688533</v>
      </c>
      <c r="C32">
        <f t="shared" si="3"/>
        <v>76</v>
      </c>
      <c r="D32" s="2">
        <f t="shared" si="0"/>
        <v>-5.0347681554785204</v>
      </c>
      <c r="E32">
        <f t="shared" si="4"/>
        <v>3887.7092318445216</v>
      </c>
      <c r="F32" s="2">
        <f t="shared" si="5"/>
        <v>51.154068840059495</v>
      </c>
      <c r="G32" s="2">
        <f t="shared" si="6"/>
        <v>270.68516482690018</v>
      </c>
      <c r="H32">
        <f t="shared" si="7"/>
        <v>763.52415737035653</v>
      </c>
    </row>
    <row r="33" spans="1:8" x14ac:dyDescent="0.3">
      <c r="A33">
        <f t="shared" si="1"/>
        <v>6.5</v>
      </c>
      <c r="B33">
        <f t="shared" si="2"/>
        <v>270.68516482690018</v>
      </c>
      <c r="C33">
        <f t="shared" si="3"/>
        <v>75</v>
      </c>
      <c r="D33" s="2">
        <f t="shared" si="0"/>
        <v>-5.2844310332233349</v>
      </c>
      <c r="E33">
        <f t="shared" si="4"/>
        <v>3896.6405689667772</v>
      </c>
      <c r="F33" s="2">
        <f t="shared" si="5"/>
        <v>51.955207586223693</v>
      </c>
      <c r="G33" s="2">
        <f t="shared" si="6"/>
        <v>283.67396672345609</v>
      </c>
      <c r="H33">
        <f t="shared" si="7"/>
        <v>831.19544857708161</v>
      </c>
    </row>
    <row r="34" spans="1:8" x14ac:dyDescent="0.3">
      <c r="A34">
        <f t="shared" si="1"/>
        <v>6.75</v>
      </c>
      <c r="B34">
        <f t="shared" si="2"/>
        <v>283.67396672345609</v>
      </c>
      <c r="C34">
        <f t="shared" si="3"/>
        <v>74</v>
      </c>
      <c r="D34" s="2">
        <f t="shared" si="0"/>
        <v>-5.5380039538909429</v>
      </c>
      <c r="E34">
        <f t="shared" si="4"/>
        <v>3905.5679960461089</v>
      </c>
      <c r="F34" s="2">
        <f t="shared" si="5"/>
        <v>52.777945892514985</v>
      </c>
      <c r="G34" s="2">
        <f t="shared" si="6"/>
        <v>296.86845319658482</v>
      </c>
      <c r="H34">
        <f t="shared" si="7"/>
        <v>902.11394025794561</v>
      </c>
    </row>
    <row r="35" spans="1:8" x14ac:dyDescent="0.3">
      <c r="A35">
        <f t="shared" si="1"/>
        <v>7</v>
      </c>
      <c r="B35">
        <f t="shared" si="2"/>
        <v>296.86845319658482</v>
      </c>
      <c r="C35">
        <f t="shared" si="3"/>
        <v>73</v>
      </c>
      <c r="D35" s="2">
        <f t="shared" si="0"/>
        <v>-5.7955923364335762</v>
      </c>
      <c r="E35">
        <f t="shared" si="4"/>
        <v>3914.4914076635669</v>
      </c>
      <c r="F35" s="2">
        <f t="shared" si="5"/>
        <v>53.623169967994066</v>
      </c>
      <c r="G35" s="2">
        <f t="shared" si="6"/>
        <v>310.27424568858333</v>
      </c>
      <c r="H35">
        <f t="shared" si="7"/>
        <v>976.33105355709176</v>
      </c>
    </row>
    <row r="36" spans="1:8" x14ac:dyDescent="0.3">
      <c r="A36">
        <f t="shared" si="1"/>
        <v>7.25</v>
      </c>
      <c r="B36">
        <f t="shared" si="2"/>
        <v>310.27424568858333</v>
      </c>
      <c r="C36">
        <f t="shared" si="3"/>
        <v>72</v>
      </c>
      <c r="D36" s="2">
        <f t="shared" si="0"/>
        <v>-6.0573059250411081</v>
      </c>
      <c r="E36">
        <f t="shared" si="4"/>
        <v>3923.4106940749589</v>
      </c>
      <c r="F36" s="2">
        <f t="shared" si="5"/>
        <v>54.491815195485543</v>
      </c>
      <c r="G36" s="2">
        <f t="shared" si="6"/>
        <v>323.89719948745471</v>
      </c>
      <c r="H36">
        <f t="shared" si="7"/>
        <v>1053.8996149792376</v>
      </c>
    </row>
    <row r="37" spans="1:8" x14ac:dyDescent="0.3">
      <c r="A37">
        <f t="shared" si="1"/>
        <v>7.5</v>
      </c>
      <c r="B37">
        <f t="shared" si="2"/>
        <v>323.89719948745471</v>
      </c>
      <c r="C37">
        <f t="shared" si="3"/>
        <v>71</v>
      </c>
      <c r="D37" s="2">
        <f t="shared" si="0"/>
        <v>-6.3232590291388515</v>
      </c>
      <c r="E37">
        <f t="shared" si="4"/>
        <v>3932.3257409708613</v>
      </c>
      <c r="F37" s="2">
        <f t="shared" si="5"/>
        <v>55.384869591138894</v>
      </c>
      <c r="G37" s="2">
        <f t="shared" si="6"/>
        <v>337.74341688523941</v>
      </c>
      <c r="H37">
        <f t="shared" si="7"/>
        <v>1134.8739148511013</v>
      </c>
    </row>
    <row r="38" spans="1:8" x14ac:dyDescent="0.3">
      <c r="A38">
        <f t="shared" si="1"/>
        <v>7.75</v>
      </c>
      <c r="B38">
        <f t="shared" si="2"/>
        <v>337.74341688523941</v>
      </c>
      <c r="C38">
        <f t="shared" si="3"/>
        <v>70</v>
      </c>
      <c r="D38" s="2">
        <f t="shared" si="0"/>
        <v>-6.5935707802701016</v>
      </c>
      <c r="E38">
        <f t="shared" si="4"/>
        <v>3941.2364292197299</v>
      </c>
      <c r="F38" s="2">
        <f t="shared" si="5"/>
        <v>56.303377560281852</v>
      </c>
      <c r="G38" s="2">
        <f t="shared" si="6"/>
        <v>351.81926127530988</v>
      </c>
      <c r="H38">
        <f t="shared" si="7"/>
        <v>1219.3097690724112</v>
      </c>
    </row>
    <row r="39" spans="1:8" x14ac:dyDescent="0.3">
      <c r="A39">
        <f t="shared" si="1"/>
        <v>8</v>
      </c>
      <c r="B39">
        <f t="shared" si="2"/>
        <v>351.81926127530988</v>
      </c>
      <c r="C39">
        <f t="shared" si="3"/>
        <v>69</v>
      </c>
      <c r="D39" s="2">
        <f t="shared" si="0"/>
        <v>-6.8683654073095166</v>
      </c>
      <c r="E39">
        <f t="shared" si="4"/>
        <v>3950.1426345926907</v>
      </c>
      <c r="F39" s="2">
        <f t="shared" si="5"/>
        <v>57.248443979604211</v>
      </c>
      <c r="G39" s="2">
        <f t="shared" si="6"/>
        <v>366.13137227021093</v>
      </c>
      <c r="H39">
        <f t="shared" si="7"/>
        <v>1307.2645843912387</v>
      </c>
    </row>
    <row r="40" spans="1:8" x14ac:dyDescent="0.3">
      <c r="A40">
        <f t="shared" si="1"/>
        <v>8.25</v>
      </c>
      <c r="B40">
        <f t="shared" si="2"/>
        <v>366.13137227021093</v>
      </c>
      <c r="C40">
        <f t="shared" si="3"/>
        <v>68</v>
      </c>
      <c r="D40" s="2">
        <f t="shared" si="0"/>
        <v>-7.1477725316000464</v>
      </c>
      <c r="E40">
        <f t="shared" si="4"/>
        <v>3959.0442274684001</v>
      </c>
      <c r="F40" s="2">
        <f t="shared" si="5"/>
        <v>58.221238639241179</v>
      </c>
      <c r="G40" s="2">
        <f t="shared" si="6"/>
        <v>380.68668193002122</v>
      </c>
      <c r="H40">
        <f t="shared" si="7"/>
        <v>1398.7974274587914</v>
      </c>
    </row>
    <row r="41" spans="1:8" x14ac:dyDescent="0.3">
      <c r="A41">
        <f t="shared" si="1"/>
        <v>8.5</v>
      </c>
      <c r="B41">
        <f t="shared" si="2"/>
        <v>380.68668193002122</v>
      </c>
      <c r="C41">
        <f t="shared" si="3"/>
        <v>67</v>
      </c>
      <c r="D41" s="2">
        <f t="shared" si="0"/>
        <v>-7.4319274837699005</v>
      </c>
      <c r="E41">
        <f t="shared" si="4"/>
        <v>3967.9410725162302</v>
      </c>
      <c r="F41" s="2">
        <f t="shared" si="5"/>
        <v>59.223001082331791</v>
      </c>
      <c r="G41" s="2">
        <f t="shared" si="6"/>
        <v>395.49243220060418</v>
      </c>
      <c r="H41">
        <f t="shared" si="7"/>
        <v>1493.9690979412967</v>
      </c>
    </row>
    <row r="42" spans="1:8" x14ac:dyDescent="0.3">
      <c r="A42">
        <f t="shared" si="1"/>
        <v>8.75</v>
      </c>
      <c r="B42">
        <f t="shared" si="2"/>
        <v>395.49243220060418</v>
      </c>
      <c r="C42">
        <f t="shared" si="3"/>
        <v>66</v>
      </c>
      <c r="D42" s="2">
        <f t="shared" si="0"/>
        <v>-7.7209716441695182</v>
      </c>
      <c r="E42">
        <f t="shared" si="4"/>
        <v>3976.8330283558307</v>
      </c>
      <c r="F42" s="2">
        <f t="shared" si="5"/>
        <v>60.255045884179253</v>
      </c>
      <c r="G42" s="2">
        <f t="shared" si="6"/>
        <v>410.556193671649</v>
      </c>
      <c r="H42">
        <f t="shared" si="7"/>
        <v>1592.8422059914478</v>
      </c>
    </row>
    <row r="43" spans="1:8" x14ac:dyDescent="0.3">
      <c r="A43">
        <f t="shared" si="1"/>
        <v>9</v>
      </c>
      <c r="B43">
        <f t="shared" si="2"/>
        <v>410.556193671649</v>
      </c>
      <c r="C43">
        <f t="shared" si="3"/>
        <v>65</v>
      </c>
      <c r="D43" s="2">
        <f t="shared" si="0"/>
        <v>-8.0150528090740245</v>
      </c>
      <c r="E43">
        <f t="shared" si="4"/>
        <v>3985.7199471909257</v>
      </c>
      <c r="F43" s="2">
        <f t="shared" si="5"/>
        <v>61.318768418321937</v>
      </c>
      <c r="G43" s="2">
        <f t="shared" si="6"/>
        <v>425.88588577622949</v>
      </c>
      <c r="H43">
        <f t="shared" si="7"/>
        <v>1695.4812544093602</v>
      </c>
    </row>
    <row r="44" spans="1:8" x14ac:dyDescent="0.3">
      <c r="A44">
        <f t="shared" si="1"/>
        <v>9.25</v>
      </c>
      <c r="B44">
        <f t="shared" si="2"/>
        <v>425.88588577622949</v>
      </c>
      <c r="C44">
        <f t="shared" si="3"/>
        <v>64</v>
      </c>
      <c r="D44" s="2">
        <f t="shared" si="0"/>
        <v>-8.314325585027623</v>
      </c>
      <c r="E44">
        <f t="shared" si="4"/>
        <v>3994.6016744149729</v>
      </c>
      <c r="F44" s="2">
        <f t="shared" si="5"/>
        <v>62.415651162733951</v>
      </c>
      <c r="G44" s="2">
        <f t="shared" si="6"/>
        <v>441.48979856691295</v>
      </c>
      <c r="H44">
        <f t="shared" si="7"/>
        <v>1801.9527258534176</v>
      </c>
    </row>
    <row r="45" spans="1:8" x14ac:dyDescent="0.3">
      <c r="A45">
        <f t="shared" si="1"/>
        <v>9.5</v>
      </c>
      <c r="B45">
        <f t="shared" si="2"/>
        <v>441.48979856691295</v>
      </c>
      <c r="C45">
        <f t="shared" si="3"/>
        <v>63</v>
      </c>
      <c r="D45" s="2">
        <f t="shared" si="0"/>
        <v>-8.6189518139660635</v>
      </c>
      <c r="E45">
        <f t="shared" si="4"/>
        <v>4003.4780481860339</v>
      </c>
      <c r="F45" s="2">
        <f t="shared" si="5"/>
        <v>63.547270606127519</v>
      </c>
      <c r="G45" s="2">
        <f t="shared" si="6"/>
        <v>457.37661621844484</v>
      </c>
      <c r="H45">
        <f t="shared" si="7"/>
        <v>1912.3251754951459</v>
      </c>
    </row>
    <row r="46" spans="1:8" x14ac:dyDescent="0.3">
      <c r="A46">
        <f t="shared" si="1"/>
        <v>9.75</v>
      </c>
      <c r="B46">
        <f t="shared" si="2"/>
        <v>457.37661621844484</v>
      </c>
      <c r="C46">
        <f t="shared" si="3"/>
        <v>62</v>
      </c>
      <c r="D46" s="2">
        <f t="shared" si="0"/>
        <v>-8.9291010320460469</v>
      </c>
      <c r="E46">
        <f t="shared" si="4"/>
        <v>4012.3488989679545</v>
      </c>
      <c r="F46" s="2">
        <f t="shared" si="5"/>
        <v>64.715304822063786</v>
      </c>
      <c r="G46" s="2">
        <f t="shared" si="6"/>
        <v>473.55544242396081</v>
      </c>
      <c r="H46">
        <f t="shared" si="7"/>
        <v>2026.6693295497571</v>
      </c>
    </row>
    <row r="47" spans="1:8" x14ac:dyDescent="0.3">
      <c r="A47">
        <f t="shared" si="1"/>
        <v>10</v>
      </c>
      <c r="B47">
        <f t="shared" si="2"/>
        <v>473.55544242396081</v>
      </c>
      <c r="C47">
        <f t="shared" si="3"/>
        <v>61</v>
      </c>
      <c r="D47" s="2">
        <f t="shared" si="0"/>
        <v>-9.2449509654409177</v>
      </c>
      <c r="E47">
        <f t="shared" si="4"/>
        <v>4021.2140490345591</v>
      </c>
      <c r="F47" s="2">
        <f t="shared" si="5"/>
        <v>65.921541787451787</v>
      </c>
      <c r="G47" s="2">
        <f t="shared" si="6"/>
        <v>490.03582787082377</v>
      </c>
      <c r="H47">
        <f t="shared" si="7"/>
        <v>2145.0581901557471</v>
      </c>
    </row>
    <row r="48" spans="1:8" x14ac:dyDescent="0.3">
      <c r="A48">
        <f t="shared" si="1"/>
        <v>10.25</v>
      </c>
      <c r="B48">
        <f t="shared" si="2"/>
        <v>490.03582787082377</v>
      </c>
      <c r="C48">
        <f t="shared" si="3"/>
        <v>60</v>
      </c>
      <c r="D48" s="2">
        <f t="shared" si="0"/>
        <v>-9.5666880667356171</v>
      </c>
      <c r="E48">
        <f t="shared" si="4"/>
        <v>4030.0733119332644</v>
      </c>
      <c r="F48" s="2">
        <f t="shared" si="5"/>
        <v>67.16788853222107</v>
      </c>
      <c r="G48" s="2">
        <f t="shared" si="6"/>
        <v>506.82780000387902</v>
      </c>
      <c r="H48">
        <f t="shared" si="7"/>
        <v>2267.5671471234532</v>
      </c>
    </row>
    <row r="49" spans="1:8" x14ac:dyDescent="0.3">
      <c r="A49">
        <f t="shared" si="1"/>
        <v>10.5</v>
      </c>
      <c r="B49">
        <f t="shared" si="2"/>
        <v>506.82780000387902</v>
      </c>
      <c r="C49">
        <f t="shared" si="3"/>
        <v>59</v>
      </c>
      <c r="D49" s="2">
        <f t="shared" si="0"/>
        <v>-9.894508095977649</v>
      </c>
      <c r="E49">
        <f t="shared" si="4"/>
        <v>4038.9264919040224</v>
      </c>
      <c r="F49" s="2">
        <f t="shared" si="5"/>
        <v>68.456381218712238</v>
      </c>
      <c r="G49" s="2">
        <f t="shared" si="6"/>
        <v>523.94189530855704</v>
      </c>
      <c r="H49">
        <f t="shared" si="7"/>
        <v>2394.274097124423</v>
      </c>
    </row>
    <row r="50" spans="1:8" x14ac:dyDescent="0.3">
      <c r="A50">
        <f t="shared" si="1"/>
        <v>10.75</v>
      </c>
      <c r="B50">
        <f t="shared" si="2"/>
        <v>523.94189530855704</v>
      </c>
      <c r="C50">
        <f t="shared" si="3"/>
        <v>58</v>
      </c>
      <c r="D50" s="2">
        <f t="shared" si="0"/>
        <v>-10.228616750921544</v>
      </c>
      <c r="E50">
        <f t="shared" si="4"/>
        <v>4047.7733832490781</v>
      </c>
      <c r="F50" s="2">
        <f t="shared" si="5"/>
        <v>69.789196262915141</v>
      </c>
      <c r="G50" s="2">
        <f t="shared" si="6"/>
        <v>541.38919437428581</v>
      </c>
      <c r="H50">
        <f t="shared" si="7"/>
        <v>2525.2595709515622</v>
      </c>
    </row>
    <row r="51" spans="1:8" x14ac:dyDescent="0.3">
      <c r="A51">
        <f t="shared" si="1"/>
        <v>11</v>
      </c>
      <c r="B51">
        <f t="shared" si="2"/>
        <v>541.38919437428581</v>
      </c>
      <c r="C51">
        <f t="shared" si="3"/>
        <v>57</v>
      </c>
      <c r="D51" s="2">
        <f t="shared" si="0"/>
        <v>-10.569230351551729</v>
      </c>
      <c r="E51">
        <f t="shared" si="4"/>
        <v>4056.6137696484484</v>
      </c>
      <c r="F51" s="2">
        <f t="shared" si="5"/>
        <v>71.168662625411372</v>
      </c>
      <c r="G51" s="2">
        <f t="shared" si="6"/>
        <v>559.18136003063864</v>
      </c>
      <c r="H51">
        <f t="shared" si="7"/>
        <v>2660.6068695451336</v>
      </c>
    </row>
    <row r="52" spans="1:8" x14ac:dyDescent="0.3">
      <c r="A52">
        <f t="shared" si="1"/>
        <v>11.25</v>
      </c>
      <c r="B52">
        <f t="shared" si="2"/>
        <v>559.18136003063864</v>
      </c>
      <c r="C52">
        <f t="shared" si="3"/>
        <v>56</v>
      </c>
      <c r="D52" s="2">
        <f t="shared" si="0"/>
        <v>-10.916576584592638</v>
      </c>
      <c r="E52">
        <f t="shared" si="4"/>
        <v>4065.4474234154072</v>
      </c>
      <c r="F52" s="2">
        <f t="shared" si="5"/>
        <v>72.59727541813227</v>
      </c>
      <c r="G52" s="2">
        <f t="shared" si="6"/>
        <v>577.33067888517166</v>
      </c>
      <c r="H52">
        <f t="shared" si="7"/>
        <v>2800.4022095527935</v>
      </c>
    </row>
    <row r="53" spans="1:8" x14ac:dyDescent="0.3">
      <c r="A53">
        <f t="shared" si="1"/>
        <v>11.5</v>
      </c>
      <c r="B53">
        <f t="shared" si="2"/>
        <v>577.33067888517166</v>
      </c>
      <c r="C53">
        <f t="shared" si="3"/>
        <v>55</v>
      </c>
      <c r="D53" s="2">
        <f t="shared" si="0"/>
        <v>-11.270895314428062</v>
      </c>
      <c r="E53">
        <f t="shared" si="4"/>
        <v>4074.2741046855717</v>
      </c>
      <c r="F53" s="2">
        <f t="shared" si="5"/>
        <v>74.077710994283123</v>
      </c>
      <c r="G53" s="2">
        <f t="shared" si="6"/>
        <v>595.85010663374248</v>
      </c>
      <c r="H53">
        <f t="shared" si="7"/>
        <v>2944.7348792740863</v>
      </c>
    </row>
    <row r="54" spans="1:8" x14ac:dyDescent="0.3">
      <c r="A54">
        <f t="shared" si="1"/>
        <v>11.75</v>
      </c>
      <c r="B54">
        <f t="shared" si="2"/>
        <v>595.85010663374248</v>
      </c>
      <c r="C54">
        <f t="shared" si="3"/>
        <v>54</v>
      </c>
      <c r="D54" s="2">
        <f t="shared" si="0"/>
        <v>-11.632439467668483</v>
      </c>
      <c r="E54">
        <f t="shared" si="4"/>
        <v>4083.0935605323316</v>
      </c>
      <c r="F54" s="2">
        <f t="shared" si="5"/>
        <v>75.612843713561702</v>
      </c>
      <c r="G54" s="2">
        <f t="shared" si="6"/>
        <v>614.75331756213291</v>
      </c>
      <c r="H54">
        <f t="shared" si="7"/>
        <v>3093.6974059325221</v>
      </c>
    </row>
    <row r="55" spans="1:8" x14ac:dyDescent="0.3">
      <c r="A55">
        <f t="shared" si="1"/>
        <v>12</v>
      </c>
      <c r="B55">
        <f t="shared" si="2"/>
        <v>614.75331756213291</v>
      </c>
      <c r="C55">
        <f t="shared" si="3"/>
        <v>53</v>
      </c>
      <c r="D55" s="2">
        <f t="shared" si="0"/>
        <v>-12.001475999542819</v>
      </c>
      <c r="E55">
        <f t="shared" si="4"/>
        <v>4091.9055240004573</v>
      </c>
      <c r="F55" s="2">
        <f t="shared" si="5"/>
        <v>77.205764603782214</v>
      </c>
      <c r="G55" s="2">
        <f t="shared" si="6"/>
        <v>634.05475871307851</v>
      </c>
      <c r="H55">
        <f t="shared" si="7"/>
        <v>3247.3857353230551</v>
      </c>
    </row>
    <row r="56" spans="1:8" x14ac:dyDescent="0.3">
      <c r="A56">
        <f t="shared" si="1"/>
        <v>12.25</v>
      </c>
      <c r="B56">
        <f t="shared" si="2"/>
        <v>634.05475871307851</v>
      </c>
      <c r="C56">
        <f t="shared" si="3"/>
        <v>52</v>
      </c>
      <c r="D56" s="2">
        <f t="shared" si="0"/>
        <v>-12.378286951370258</v>
      </c>
      <c r="E56">
        <f t="shared" si="4"/>
        <v>4100.7097130486291</v>
      </c>
      <c r="F56" s="2">
        <f t="shared" si="5"/>
        <v>78.859802174012103</v>
      </c>
      <c r="G56" s="2">
        <f t="shared" si="6"/>
        <v>653.76970925658156</v>
      </c>
      <c r="H56">
        <f t="shared" si="7"/>
        <v>3405.8994250013247</v>
      </c>
    </row>
    <row r="57" spans="1:8" x14ac:dyDescent="0.3">
      <c r="A57">
        <f t="shared" si="1"/>
        <v>12.5</v>
      </c>
      <c r="B57">
        <f t="shared" si="2"/>
        <v>653.76970925658156</v>
      </c>
      <c r="C57">
        <f t="shared" si="3"/>
        <v>51</v>
      </c>
      <c r="D57" s="2">
        <f t="shared" si="0"/>
        <v>-12.763170609612754</v>
      </c>
      <c r="E57">
        <f t="shared" si="4"/>
        <v>4109.5058293903876</v>
      </c>
      <c r="F57" s="2">
        <f t="shared" si="5"/>
        <v>80.578545674321319</v>
      </c>
      <c r="G57" s="2">
        <f t="shared" si="6"/>
        <v>673.91434567516194</v>
      </c>
      <c r="H57">
        <f t="shared" si="7"/>
        <v>3569.3418523154701</v>
      </c>
    </row>
    <row r="58" spans="1:8" x14ac:dyDescent="0.3">
      <c r="A58">
        <f t="shared" si="1"/>
        <v>12.75</v>
      </c>
      <c r="B58">
        <f t="shared" si="2"/>
        <v>673.91434567516194</v>
      </c>
      <c r="C58">
        <f t="shared" si="3"/>
        <v>50</v>
      </c>
      <c r="D58" s="2">
        <f t="shared" si="0"/>
        <v>-13.15644277844928</v>
      </c>
      <c r="E58">
        <f t="shared" si="4"/>
        <v>4118.2935572215501</v>
      </c>
      <c r="F58" s="2">
        <f t="shared" si="5"/>
        <v>82.365871144430997</v>
      </c>
      <c r="G58" s="2">
        <f t="shared" si="6"/>
        <v>694.50581346126967</v>
      </c>
      <c r="H58">
        <f t="shared" si="7"/>
        <v>3737.8204387342607</v>
      </c>
    </row>
    <row r="59" spans="1:8" x14ac:dyDescent="0.3">
      <c r="A59">
        <f t="shared" si="1"/>
        <v>13</v>
      </c>
      <c r="B59">
        <f t="shared" si="2"/>
        <v>694.50581346126967</v>
      </c>
      <c r="C59">
        <f t="shared" si="3"/>
        <v>49</v>
      </c>
      <c r="D59" s="2">
        <f t="shared" si="0"/>
        <v>-13.558438179483213</v>
      </c>
      <c r="E59">
        <f t="shared" si="4"/>
        <v>4127.072561820517</v>
      </c>
      <c r="F59" s="2">
        <f t="shared" si="5"/>
        <v>84.225970649398306</v>
      </c>
      <c r="G59" s="2">
        <f t="shared" si="6"/>
        <v>715.56230612361924</v>
      </c>
      <c r="H59">
        <f t="shared" si="7"/>
        <v>3911.4468920995782</v>
      </c>
    </row>
    <row r="60" spans="1:8" x14ac:dyDescent="0.3">
      <c r="A60">
        <f t="shared" si="1"/>
        <v>13.25</v>
      </c>
      <c r="B60">
        <f t="shared" si="2"/>
        <v>715.56230612361924</v>
      </c>
      <c r="C60">
        <f t="shared" si="3"/>
        <v>48</v>
      </c>
      <c r="D60" s="2">
        <f t="shared" si="0"/>
        <v>-13.969511994137649</v>
      </c>
      <c r="E60">
        <f t="shared" si="4"/>
        <v>4135.8424880058619</v>
      </c>
      <c r="F60" s="2">
        <f t="shared" si="5"/>
        <v>86.163385166788785</v>
      </c>
      <c r="G60" s="2">
        <f t="shared" si="6"/>
        <v>737.10315241531646</v>
      </c>
      <c r="H60">
        <f t="shared" si="7"/>
        <v>4090.3374686304833</v>
      </c>
    </row>
    <row r="61" spans="1:8" x14ac:dyDescent="0.3">
      <c r="A61">
        <f t="shared" si="1"/>
        <v>13.5</v>
      </c>
      <c r="B61">
        <f t="shared" si="2"/>
        <v>737.10315241531646</v>
      </c>
      <c r="C61">
        <f t="shared" si="3"/>
        <v>47</v>
      </c>
      <c r="D61" s="2">
        <f t="shared" si="0"/>
        <v>-14.390041566560033</v>
      </c>
      <c r="E61">
        <f t="shared" si="4"/>
        <v>4144.6029584334401</v>
      </c>
      <c r="F61" s="2">
        <f t="shared" si="5"/>
        <v>88.183041668796605</v>
      </c>
      <c r="G61" s="2">
        <f t="shared" si="6"/>
        <v>759.14891283251563</v>
      </c>
      <c r="H61">
        <f t="shared" si="7"/>
        <v>4274.613256734312</v>
      </c>
    </row>
    <row r="62" spans="1:8" x14ac:dyDescent="0.3">
      <c r="A62">
        <f t="shared" si="1"/>
        <v>13.75</v>
      </c>
      <c r="B62">
        <f t="shared" si="2"/>
        <v>759.14891283251563</v>
      </c>
      <c r="C62">
        <f t="shared" si="3"/>
        <v>46</v>
      </c>
      <c r="D62" s="2">
        <f t="shared" si="0"/>
        <v>-14.820428287510012</v>
      </c>
      <c r="E62">
        <f t="shared" si="4"/>
        <v>4153.3535717124896</v>
      </c>
      <c r="F62" s="2">
        <f t="shared" si="5"/>
        <v>90.290295037228034</v>
      </c>
      <c r="G62" s="2">
        <f t="shared" si="6"/>
        <v>781.72148659182267</v>
      </c>
      <c r="H62">
        <f t="shared" si="7"/>
        <v>4464.4004849424409</v>
      </c>
    </row>
    <row r="63" spans="1:8" x14ac:dyDescent="0.3">
      <c r="A63">
        <f t="shared" si="1"/>
        <v>14</v>
      </c>
      <c r="B63">
        <f t="shared" si="2"/>
        <v>781.72148659182267</v>
      </c>
      <c r="C63">
        <f t="shared" si="3"/>
        <v>45</v>
      </c>
      <c r="D63" s="2">
        <f t="shared" si="0"/>
        <v>-15.261099682817861</v>
      </c>
      <c r="E63">
        <f t="shared" si="4"/>
        <v>4162.0939003171825</v>
      </c>
      <c r="F63" s="2">
        <f t="shared" si="5"/>
        <v>92.490975562604049</v>
      </c>
      <c r="G63" s="2">
        <f t="shared" si="6"/>
        <v>804.84423048247368</v>
      </c>
      <c r="H63">
        <f t="shared" si="7"/>
        <v>4659.8308565903963</v>
      </c>
    </row>
    <row r="64" spans="1:8" x14ac:dyDescent="0.3">
      <c r="A64">
        <f t="shared" si="1"/>
        <v>14.25</v>
      </c>
      <c r="B64">
        <f t="shared" si="2"/>
        <v>804.84423048247368</v>
      </c>
      <c r="C64">
        <f t="shared" si="3"/>
        <v>44</v>
      </c>
      <c r="D64" s="2">
        <f t="shared" si="0"/>
        <v>-15.712511733667307</v>
      </c>
      <c r="E64">
        <f t="shared" si="4"/>
        <v>4170.8234882663328</v>
      </c>
      <c r="F64" s="2">
        <f t="shared" si="5"/>
        <v>94.791442915143932</v>
      </c>
      <c r="G64" s="2">
        <f t="shared" si="6"/>
        <v>828.54209121125962</v>
      </c>
      <c r="H64">
        <f t="shared" si="7"/>
        <v>4861.041914211015</v>
      </c>
    </row>
    <row r="65" spans="1:8" x14ac:dyDescent="0.3">
      <c r="A65">
        <f t="shared" si="1"/>
        <v>14.5</v>
      </c>
      <c r="B65">
        <f t="shared" si="2"/>
        <v>828.54209121125962</v>
      </c>
      <c r="C65">
        <f t="shared" si="3"/>
        <v>43</v>
      </c>
      <c r="D65" s="2">
        <f t="shared" si="0"/>
        <v>-16.175151460289502</v>
      </c>
      <c r="E65">
        <f t="shared" si="4"/>
        <v>4179.5418485397104</v>
      </c>
      <c r="F65" s="2">
        <f t="shared" si="5"/>
        <v>97.198647640458375</v>
      </c>
      <c r="G65" s="2">
        <f t="shared" si="6"/>
        <v>852.84175312137427</v>
      </c>
      <c r="H65">
        <f t="shared" si="7"/>
        <v>5068.1774370138301</v>
      </c>
    </row>
    <row r="66" spans="1:8" x14ac:dyDescent="0.3">
      <c r="A66">
        <f t="shared" si="1"/>
        <v>14.75</v>
      </c>
      <c r="B66">
        <f t="shared" si="2"/>
        <v>852.84175312137427</v>
      </c>
      <c r="C66">
        <f t="shared" si="3"/>
        <v>42</v>
      </c>
      <c r="D66" s="2">
        <f t="shared" si="0"/>
        <v>-16.64953980579326</v>
      </c>
      <c r="E66">
        <f t="shared" si="4"/>
        <v>4188.2484601942069</v>
      </c>
      <c r="F66" s="2">
        <f t="shared" si="5"/>
        <v>99.720201433195399</v>
      </c>
      <c r="G66" s="2">
        <f t="shared" si="6"/>
        <v>877.77180347967317</v>
      </c>
      <c r="H66">
        <f t="shared" si="7"/>
        <v>5281.3878752941737</v>
      </c>
    </row>
    <row r="67" spans="1:8" x14ac:dyDescent="0.3">
      <c r="A67">
        <f t="shared" si="1"/>
        <v>15</v>
      </c>
      <c r="B67">
        <f t="shared" si="2"/>
        <v>877.77180347967317</v>
      </c>
      <c r="C67">
        <f t="shared" si="3"/>
        <v>41</v>
      </c>
      <c r="D67" s="2">
        <f t="shared" si="0"/>
        <v>-17.136234862973293</v>
      </c>
      <c r="E67">
        <f t="shared" si="4"/>
        <v>4196.9427651370261</v>
      </c>
      <c r="F67" s="2">
        <f t="shared" si="5"/>
        <v>102.36445768626893</v>
      </c>
      <c r="G67" s="2">
        <f t="shared" si="6"/>
        <v>903.36291790124039</v>
      </c>
      <c r="H67">
        <f t="shared" si="7"/>
        <v>5500.8308261640923</v>
      </c>
    </row>
    <row r="68" spans="1:8" x14ac:dyDescent="0.3">
      <c r="A68">
        <f t="shared" si="1"/>
        <v>15.25</v>
      </c>
      <c r="B68">
        <f t="shared" si="2"/>
        <v>903.36291790124039</v>
      </c>
      <c r="C68">
        <f t="shared" si="3"/>
        <v>40</v>
      </c>
      <c r="D68" s="2">
        <f t="shared" si="0"/>
        <v>-17.635835494247562</v>
      </c>
      <c r="E68">
        <f t="shared" si="4"/>
        <v>4205.6241645057526</v>
      </c>
      <c r="F68" s="2">
        <f t="shared" si="5"/>
        <v>105.14060411264381</v>
      </c>
      <c r="G68" s="2">
        <f t="shared" si="6"/>
        <v>929.64806892940135</v>
      </c>
      <c r="H68">
        <f t="shared" si="7"/>
        <v>5726.671555639402</v>
      </c>
    </row>
    <row r="69" spans="1:8" x14ac:dyDescent="0.3">
      <c r="A69">
        <f t="shared" si="1"/>
        <v>15.5</v>
      </c>
      <c r="B69">
        <f t="shared" si="2"/>
        <v>929.64806892940135</v>
      </c>
      <c r="C69">
        <f t="shared" si="3"/>
        <v>39</v>
      </c>
      <c r="D69" s="2">
        <f t="shared" si="0"/>
        <v>-18.148985403645082</v>
      </c>
      <c r="E69">
        <f t="shared" si="4"/>
        <v>4214.2920145963544</v>
      </c>
      <c r="F69" s="2">
        <f t="shared" si="5"/>
        <v>108.05876960503473</v>
      </c>
      <c r="G69" s="2">
        <f t="shared" si="6"/>
        <v>956.66276133066003</v>
      </c>
      <c r="H69">
        <f t="shared" si="7"/>
        <v>5959.083572871752</v>
      </c>
    </row>
    <row r="70" spans="1:8" x14ac:dyDescent="0.3">
      <c r="A70">
        <f t="shared" si="1"/>
        <v>15.75</v>
      </c>
      <c r="B70">
        <f t="shared" si="2"/>
        <v>956.66276133066003</v>
      </c>
      <c r="C70">
        <f t="shared" si="3"/>
        <v>38</v>
      </c>
      <c r="D70" s="2">
        <f t="shared" si="0"/>
        <v>-18.676377730333858</v>
      </c>
      <c r="E70">
        <f t="shared" si="4"/>
        <v>4222.9456222696663</v>
      </c>
      <c r="F70" s="2">
        <f t="shared" si="5"/>
        <v>111.1301479544649</v>
      </c>
      <c r="G70" s="2">
        <f t="shared" si="6"/>
        <v>984.44529831927628</v>
      </c>
      <c r="H70">
        <f t="shared" si="7"/>
        <v>6198.2492632044168</v>
      </c>
    </row>
    <row r="71" spans="1:8" x14ac:dyDescent="0.3">
      <c r="A71">
        <f t="shared" si="1"/>
        <v>16</v>
      </c>
      <c r="B71">
        <f t="shared" si="2"/>
        <v>984.44529831927628</v>
      </c>
      <c r="C71">
        <f t="shared" si="3"/>
        <v>37</v>
      </c>
      <c r="D71" s="2">
        <f t="shared" si="0"/>
        <v>-19.218760245970447</v>
      </c>
      <c r="E71">
        <f t="shared" si="4"/>
        <v>4231.5842397540291</v>
      </c>
      <c r="F71" s="2">
        <f t="shared" si="5"/>
        <v>114.36714161497376</v>
      </c>
      <c r="G71" s="2">
        <f t="shared" si="6"/>
        <v>1013.0370837230197</v>
      </c>
      <c r="H71">
        <f t="shared" si="7"/>
        <v>6444.3605877842356</v>
      </c>
    </row>
    <row r="72" spans="1:8" x14ac:dyDescent="0.3">
      <c r="A72">
        <f t="shared" si="1"/>
        <v>16.25</v>
      </c>
      <c r="B72">
        <f t="shared" si="2"/>
        <v>1013.0370837230197</v>
      </c>
      <c r="C72">
        <f t="shared" si="3"/>
        <v>36</v>
      </c>
      <c r="D72" s="2">
        <f t="shared" si="0"/>
        <v>-19.77694125370844</v>
      </c>
      <c r="E72">
        <f t="shared" si="4"/>
        <v>4240.2070587462922</v>
      </c>
      <c r="F72" s="2">
        <f t="shared" si="5"/>
        <v>117.78352940961923</v>
      </c>
      <c r="G72" s="2">
        <f t="shared" si="6"/>
        <v>1042.4829660754244</v>
      </c>
      <c r="H72">
        <f t="shared" si="7"/>
        <v>6697.6198587149902</v>
      </c>
    </row>
    <row r="73" spans="1:8" x14ac:dyDescent="0.3">
      <c r="A73">
        <f t="shared" si="1"/>
        <v>16.5</v>
      </c>
      <c r="B73">
        <f t="shared" si="2"/>
        <v>1042.4829660754244</v>
      </c>
      <c r="C73">
        <f t="shared" si="3"/>
        <v>35</v>
      </c>
      <c r="D73" s="2">
        <f t="shared" ref="D73:D116" si="8">-0.5*1.204*B73*$E$2^2*PI()/4</f>
        <v>-20.351796305713957</v>
      </c>
      <c r="E73">
        <f t="shared" si="4"/>
        <v>4248.8132036942861</v>
      </c>
      <c r="F73" s="2">
        <f t="shared" si="5"/>
        <v>121.39466296269389</v>
      </c>
      <c r="G73" s="2">
        <f t="shared" si="6"/>
        <v>1072.8316318160978</v>
      </c>
      <c r="H73">
        <f t="shared" si="7"/>
        <v>6958.2406002338466</v>
      </c>
    </row>
    <row r="74" spans="1:8" x14ac:dyDescent="0.3">
      <c r="A74">
        <f t="shared" ref="A74:A117" si="9">$A$6+A73</f>
        <v>16.75</v>
      </c>
      <c r="B74">
        <f t="shared" ref="B74:B116" si="10">G73</f>
        <v>1072.8316318160978</v>
      </c>
      <c r="C74">
        <f t="shared" ref="C74:C116" si="11">C73-(A74-A73)*$C$3</f>
        <v>34</v>
      </c>
      <c r="D74" s="2">
        <f t="shared" si="8"/>
        <v>-20.944275879389505</v>
      </c>
      <c r="E74">
        <f t="shared" ref="E74:E116" si="12">D74+$D$6-C74*9.181</f>
        <v>4257.4017241206111</v>
      </c>
      <c r="F74" s="2">
        <f t="shared" ref="F74:F116" si="13">E74/C74</f>
        <v>125.21769776825327</v>
      </c>
      <c r="G74" s="2">
        <f t="shared" ref="G74:G116" si="14">F74*$A$6+B74</f>
        <v>1104.136056258161</v>
      </c>
      <c r="H74">
        <f t="shared" ref="H74:H116" si="15">B74*$A$6+H73</f>
        <v>7226.4485081878711</v>
      </c>
    </row>
    <row r="75" spans="1:8" x14ac:dyDescent="0.3">
      <c r="A75">
        <f t="shared" si="9"/>
        <v>17</v>
      </c>
      <c r="B75">
        <f t="shared" si="10"/>
        <v>1104.136056258161</v>
      </c>
      <c r="C75">
        <f t="shared" si="11"/>
        <v>33</v>
      </c>
      <c r="D75" s="2">
        <f t="shared" si="8"/>
        <v>-21.555414181352312</v>
      </c>
      <c r="E75">
        <f t="shared" si="12"/>
        <v>4265.9715858186473</v>
      </c>
      <c r="F75" s="2">
        <f t="shared" si="13"/>
        <v>129.2718662369287</v>
      </c>
      <c r="G75" s="2">
        <f t="shared" si="14"/>
        <v>1136.4540228173933</v>
      </c>
      <c r="H75">
        <f t="shared" si="15"/>
        <v>7502.4825222524114</v>
      </c>
    </row>
    <row r="76" spans="1:8" x14ac:dyDescent="0.3">
      <c r="A76">
        <f t="shared" si="9"/>
        <v>17.25</v>
      </c>
      <c r="B76">
        <f t="shared" si="10"/>
        <v>1136.4540228173933</v>
      </c>
      <c r="C76">
        <f t="shared" si="11"/>
        <v>32</v>
      </c>
      <c r="D76" s="2">
        <f t="shared" si="8"/>
        <v>-22.186339284046781</v>
      </c>
      <c r="E76">
        <f t="shared" si="12"/>
        <v>4274.5216607159527</v>
      </c>
      <c r="F76" s="2">
        <f t="shared" si="13"/>
        <v>133.57880189737352</v>
      </c>
      <c r="G76" s="2">
        <f t="shared" si="14"/>
        <v>1169.8487232917366</v>
      </c>
      <c r="H76">
        <f t="shared" si="15"/>
        <v>7786.5960279567598</v>
      </c>
    </row>
    <row r="77" spans="1:8" x14ac:dyDescent="0.3">
      <c r="A77">
        <f t="shared" si="9"/>
        <v>17.5</v>
      </c>
      <c r="B77">
        <f t="shared" si="10"/>
        <v>1169.8487232917366</v>
      </c>
      <c r="C77">
        <f t="shared" si="11"/>
        <v>31</v>
      </c>
      <c r="D77" s="2">
        <f t="shared" si="8"/>
        <v>-22.838284844656538</v>
      </c>
      <c r="E77">
        <f t="shared" si="12"/>
        <v>4283.0507151553438</v>
      </c>
      <c r="F77" s="2">
        <f t="shared" si="13"/>
        <v>138.16292629533368</v>
      </c>
      <c r="G77" s="2">
        <f t="shared" si="14"/>
        <v>1204.3894548655701</v>
      </c>
      <c r="H77">
        <f t="shared" si="15"/>
        <v>8079.0582087796938</v>
      </c>
    </row>
    <row r="78" spans="1:8" x14ac:dyDescent="0.3">
      <c r="A78">
        <f t="shared" si="9"/>
        <v>17.75</v>
      </c>
      <c r="B78">
        <f t="shared" si="10"/>
        <v>1204.3894548655701</v>
      </c>
      <c r="C78">
        <f t="shared" si="11"/>
        <v>30</v>
      </c>
      <c r="D78" s="2">
        <f t="shared" si="8"/>
        <v>-23.512603712318629</v>
      </c>
      <c r="E78">
        <f t="shared" si="12"/>
        <v>4291.5573962876815</v>
      </c>
      <c r="F78" s="2">
        <f t="shared" si="13"/>
        <v>143.05191320958937</v>
      </c>
      <c r="G78" s="2">
        <f t="shared" si="14"/>
        <v>1240.1524331679675</v>
      </c>
      <c r="H78">
        <f t="shared" si="15"/>
        <v>8380.1555724960872</v>
      </c>
    </row>
    <row r="79" spans="1:8" x14ac:dyDescent="0.3">
      <c r="A79">
        <f t="shared" si="9"/>
        <v>18</v>
      </c>
      <c r="B79">
        <f t="shared" si="10"/>
        <v>1240.1524331679675</v>
      </c>
      <c r="C79">
        <f t="shared" si="11"/>
        <v>29</v>
      </c>
      <c r="D79" s="2">
        <f t="shared" si="8"/>
        <v>-24.210783800992999</v>
      </c>
      <c r="E79">
        <f t="shared" si="12"/>
        <v>4300.0402161990069</v>
      </c>
      <c r="F79" s="2">
        <f t="shared" si="13"/>
        <v>148.2772488344485</v>
      </c>
      <c r="G79" s="2">
        <f t="shared" si="14"/>
        <v>1277.2217453765795</v>
      </c>
      <c r="H79">
        <f t="shared" si="15"/>
        <v>8690.1936807880793</v>
      </c>
    </row>
    <row r="80" spans="1:8" x14ac:dyDescent="0.3">
      <c r="A80">
        <f t="shared" si="9"/>
        <v>18.25</v>
      </c>
      <c r="B80">
        <f t="shared" si="10"/>
        <v>1277.2217453765795</v>
      </c>
      <c r="C80">
        <f t="shared" si="11"/>
        <v>28</v>
      </c>
      <c r="D80" s="2">
        <f t="shared" si="8"/>
        <v>-24.93446669636225</v>
      </c>
      <c r="E80">
        <f t="shared" si="12"/>
        <v>4308.4975333036373</v>
      </c>
      <c r="F80" s="2">
        <f t="shared" si="13"/>
        <v>153.87491190370133</v>
      </c>
      <c r="G80" s="2">
        <f t="shared" si="14"/>
        <v>1315.6904733525048</v>
      </c>
      <c r="H80">
        <f t="shared" si="15"/>
        <v>9009.4991171322235</v>
      </c>
    </row>
    <row r="81" spans="1:8" x14ac:dyDescent="0.3">
      <c r="A81">
        <f t="shared" si="9"/>
        <v>18.5</v>
      </c>
      <c r="B81">
        <f t="shared" si="10"/>
        <v>1315.6904733525048</v>
      </c>
      <c r="C81">
        <f t="shared" si="11"/>
        <v>27</v>
      </c>
      <c r="D81" s="2">
        <f t="shared" si="8"/>
        <v>-25.685469582148787</v>
      </c>
      <c r="E81">
        <f t="shared" si="12"/>
        <v>4316.9275304178518</v>
      </c>
      <c r="F81" s="2">
        <f t="shared" si="13"/>
        <v>159.88620483029081</v>
      </c>
      <c r="G81" s="2">
        <f t="shared" si="14"/>
        <v>1355.6620245600775</v>
      </c>
      <c r="H81">
        <f t="shared" si="15"/>
        <v>9338.4217354703505</v>
      </c>
    </row>
    <row r="82" spans="1:8" x14ac:dyDescent="0.3">
      <c r="A82">
        <f t="shared" si="9"/>
        <v>18.75</v>
      </c>
      <c r="B82">
        <f t="shared" si="10"/>
        <v>1355.6620245600775</v>
      </c>
      <c r="C82">
        <f t="shared" si="11"/>
        <v>26</v>
      </c>
      <c r="D82" s="2">
        <f t="shared" si="8"/>
        <v>-26.46581122289755</v>
      </c>
      <c r="E82">
        <f t="shared" si="12"/>
        <v>4325.3281887771027</v>
      </c>
      <c r="F82" s="2">
        <f t="shared" si="13"/>
        <v>166.35877649142702</v>
      </c>
      <c r="G82" s="2">
        <f t="shared" si="14"/>
        <v>1397.2517186829343</v>
      </c>
      <c r="H82">
        <f t="shared" si="15"/>
        <v>9677.3372416103703</v>
      </c>
    </row>
    <row r="83" spans="1:8" x14ac:dyDescent="0.3">
      <c r="A83">
        <f t="shared" si="9"/>
        <v>19</v>
      </c>
      <c r="B83">
        <f t="shared" si="10"/>
        <v>1397.2517186829343</v>
      </c>
      <c r="C83">
        <f t="shared" si="11"/>
        <v>25</v>
      </c>
      <c r="D83" s="2">
        <f t="shared" si="8"/>
        <v>-27.277742938570388</v>
      </c>
      <c r="E83">
        <f t="shared" si="12"/>
        <v>4333.6972570614298</v>
      </c>
      <c r="F83" s="2">
        <f t="shared" si="13"/>
        <v>173.3478902824572</v>
      </c>
      <c r="G83" s="2">
        <f t="shared" si="14"/>
        <v>1440.5886912535486</v>
      </c>
      <c r="H83">
        <f t="shared" si="15"/>
        <v>10026.650171281104</v>
      </c>
    </row>
    <row r="84" spans="1:8" x14ac:dyDescent="0.3">
      <c r="A84">
        <f t="shared" si="9"/>
        <v>19.25</v>
      </c>
      <c r="B84">
        <f t="shared" si="10"/>
        <v>1440.5886912535486</v>
      </c>
      <c r="C84">
        <f t="shared" si="11"/>
        <v>24</v>
      </c>
      <c r="D84" s="2">
        <f t="shared" si="8"/>
        <v>-28.123785768012308</v>
      </c>
      <c r="E84">
        <f t="shared" si="12"/>
        <v>4342.0322142319874</v>
      </c>
      <c r="F84" s="2">
        <f t="shared" si="13"/>
        <v>180.91800892633282</v>
      </c>
      <c r="G84" s="2">
        <f t="shared" si="14"/>
        <v>1485.8181934851318</v>
      </c>
      <c r="H84">
        <f t="shared" si="15"/>
        <v>10386.797344094492</v>
      </c>
    </row>
    <row r="85" spans="1:8" x14ac:dyDescent="0.3">
      <c r="A85">
        <f t="shared" si="9"/>
        <v>19.5</v>
      </c>
      <c r="B85">
        <f t="shared" si="10"/>
        <v>1485.8181934851318</v>
      </c>
      <c r="C85">
        <f t="shared" si="11"/>
        <v>23</v>
      </c>
      <c r="D85" s="2">
        <f t="shared" si="8"/>
        <v>-29.006775367249002</v>
      </c>
      <c r="E85">
        <f t="shared" si="12"/>
        <v>4350.3302246327512</v>
      </c>
      <c r="F85" s="2">
        <f t="shared" si="13"/>
        <v>189.144792375337</v>
      </c>
      <c r="G85" s="2">
        <f t="shared" si="14"/>
        <v>1533.104391578966</v>
      </c>
      <c r="H85">
        <f t="shared" si="15"/>
        <v>10758.251892465774</v>
      </c>
    </row>
    <row r="86" spans="1:8" x14ac:dyDescent="0.3">
      <c r="A86">
        <f t="shared" si="9"/>
        <v>19.75</v>
      </c>
      <c r="B86">
        <f t="shared" si="10"/>
        <v>1533.104391578966</v>
      </c>
      <c r="C86">
        <f t="shared" si="11"/>
        <v>22</v>
      </c>
      <c r="D86" s="2">
        <f t="shared" si="8"/>
        <v>-29.929916658756422</v>
      </c>
      <c r="E86">
        <f t="shared" si="12"/>
        <v>4358.5880833412439</v>
      </c>
      <c r="F86" s="2">
        <f t="shared" si="13"/>
        <v>198.11764015187472</v>
      </c>
      <c r="G86" s="2">
        <f t="shared" si="14"/>
        <v>1582.6338016169348</v>
      </c>
      <c r="H86">
        <f t="shared" si="15"/>
        <v>11141.527990360515</v>
      </c>
    </row>
    <row r="87" spans="1:8" x14ac:dyDescent="0.3">
      <c r="A87">
        <f t="shared" si="9"/>
        <v>20</v>
      </c>
      <c r="B87">
        <f t="shared" si="10"/>
        <v>1582.6338016169348</v>
      </c>
      <c r="C87">
        <f t="shared" si="11"/>
        <v>21</v>
      </c>
      <c r="D87" s="2">
        <f t="shared" si="8"/>
        <v>-30.896850888895191</v>
      </c>
      <c r="E87">
        <f t="shared" si="12"/>
        <v>4366.802149111104</v>
      </c>
      <c r="F87" s="2">
        <f t="shared" si="13"/>
        <v>207.94295948148115</v>
      </c>
      <c r="G87" s="2">
        <f t="shared" si="14"/>
        <v>1634.619541487305</v>
      </c>
      <c r="H87">
        <f t="shared" si="15"/>
        <v>11537.186440764748</v>
      </c>
    </row>
    <row r="88" spans="1:8" x14ac:dyDescent="0.3">
      <c r="A88">
        <f t="shared" si="9"/>
        <v>20.25</v>
      </c>
      <c r="B88">
        <f t="shared" si="10"/>
        <v>1634.619541487305</v>
      </c>
      <c r="C88">
        <f t="shared" si="11"/>
        <v>20</v>
      </c>
      <c r="D88" s="2">
        <f t="shared" si="8"/>
        <v>-31.911738635816004</v>
      </c>
      <c r="E88">
        <f t="shared" si="12"/>
        <v>4374.9682613641844</v>
      </c>
      <c r="F88" s="2">
        <f t="shared" si="13"/>
        <v>218.74841306820923</v>
      </c>
      <c r="G88" s="2">
        <f t="shared" si="14"/>
        <v>1689.3066447543574</v>
      </c>
      <c r="H88">
        <f t="shared" si="15"/>
        <v>11945.841326136575</v>
      </c>
    </row>
    <row r="89" spans="1:8" x14ac:dyDescent="0.3">
      <c r="A89">
        <f t="shared" si="9"/>
        <v>20.5</v>
      </c>
      <c r="B89">
        <f t="shared" si="10"/>
        <v>1689.3066447543574</v>
      </c>
      <c r="C89">
        <f t="shared" si="11"/>
        <v>19</v>
      </c>
      <c r="D89" s="2">
        <f t="shared" si="8"/>
        <v>-32.979363549084916</v>
      </c>
      <c r="E89">
        <f t="shared" si="12"/>
        <v>4383.0816364509146</v>
      </c>
      <c r="F89" s="2">
        <f t="shared" si="13"/>
        <v>230.68850718162707</v>
      </c>
      <c r="G89" s="2">
        <f t="shared" si="14"/>
        <v>1746.9787715497641</v>
      </c>
      <c r="H89">
        <f t="shared" si="15"/>
        <v>12368.167987325165</v>
      </c>
    </row>
    <row r="90" spans="1:8" x14ac:dyDescent="0.3">
      <c r="A90">
        <f t="shared" si="9"/>
        <v>20.75</v>
      </c>
      <c r="B90">
        <f t="shared" si="10"/>
        <v>1746.9787715497641</v>
      </c>
      <c r="C90">
        <f t="shared" si="11"/>
        <v>18</v>
      </c>
      <c r="D90" s="2">
        <f t="shared" si="8"/>
        <v>-34.105263362562056</v>
      </c>
      <c r="E90">
        <f t="shared" si="12"/>
        <v>4391.1367366374379</v>
      </c>
      <c r="F90" s="2">
        <f t="shared" si="13"/>
        <v>243.95204092430211</v>
      </c>
      <c r="G90" s="2">
        <f t="shared" si="14"/>
        <v>1807.9667817808397</v>
      </c>
      <c r="H90">
        <f t="shared" si="15"/>
        <v>12804.912680212607</v>
      </c>
    </row>
    <row r="91" spans="1:8" x14ac:dyDescent="0.3">
      <c r="A91">
        <f t="shared" si="9"/>
        <v>21</v>
      </c>
      <c r="B91">
        <f t="shared" si="10"/>
        <v>1807.9667817808397</v>
      </c>
      <c r="C91">
        <f t="shared" si="11"/>
        <v>17</v>
      </c>
      <c r="D91" s="2">
        <f t="shared" si="8"/>
        <v>-35.295897264223193</v>
      </c>
      <c r="E91">
        <f t="shared" si="12"/>
        <v>4399.1271027357761</v>
      </c>
      <c r="F91" s="2">
        <f t="shared" si="13"/>
        <v>258.77218251386921</v>
      </c>
      <c r="G91" s="2">
        <f t="shared" si="14"/>
        <v>1872.6598274093071</v>
      </c>
      <c r="H91">
        <f t="shared" si="15"/>
        <v>13256.904375657816</v>
      </c>
    </row>
    <row r="92" spans="1:8" x14ac:dyDescent="0.3">
      <c r="A92">
        <f t="shared" si="9"/>
        <v>21.25</v>
      </c>
      <c r="B92">
        <f t="shared" si="10"/>
        <v>1872.6598274093071</v>
      </c>
      <c r="C92">
        <f t="shared" si="11"/>
        <v>16</v>
      </c>
      <c r="D92" s="2">
        <f t="shared" si="8"/>
        <v>-36.558862444348321</v>
      </c>
      <c r="E92">
        <f t="shared" si="12"/>
        <v>4407.0451375556522</v>
      </c>
      <c r="F92" s="2">
        <f t="shared" si="13"/>
        <v>275.44032109722826</v>
      </c>
      <c r="G92" s="2">
        <f t="shared" si="14"/>
        <v>1941.5199076836143</v>
      </c>
      <c r="H92">
        <f t="shared" si="15"/>
        <v>13725.069332510142</v>
      </c>
    </row>
    <row r="93" spans="1:8" x14ac:dyDescent="0.3">
      <c r="A93">
        <f t="shared" si="9"/>
        <v>21.5</v>
      </c>
      <c r="B93">
        <f t="shared" si="10"/>
        <v>1941.5199076836143</v>
      </c>
      <c r="C93">
        <f t="shared" si="11"/>
        <v>15</v>
      </c>
      <c r="D93" s="2">
        <f t="shared" si="8"/>
        <v>-37.903178248963997</v>
      </c>
      <c r="E93">
        <f t="shared" si="12"/>
        <v>4414.8818217510361</v>
      </c>
      <c r="F93" s="2">
        <f t="shared" si="13"/>
        <v>294.32545478340239</v>
      </c>
      <c r="G93" s="2">
        <f t="shared" si="14"/>
        <v>2015.1012713794648</v>
      </c>
      <c r="H93">
        <f t="shared" si="15"/>
        <v>14210.449309431046</v>
      </c>
    </row>
    <row r="94" spans="1:8" x14ac:dyDescent="0.3">
      <c r="A94">
        <f t="shared" si="9"/>
        <v>21.75</v>
      </c>
      <c r="B94">
        <f t="shared" si="10"/>
        <v>2015.1012713794648</v>
      </c>
      <c r="C94">
        <f t="shared" si="11"/>
        <v>14</v>
      </c>
      <c r="D94" s="2">
        <f t="shared" si="8"/>
        <v>-39.339664958643482</v>
      </c>
      <c r="E94">
        <f t="shared" si="12"/>
        <v>4422.6263350413565</v>
      </c>
      <c r="F94" s="2">
        <f t="shared" si="13"/>
        <v>315.90188107438263</v>
      </c>
      <c r="G94" s="2">
        <f t="shared" si="14"/>
        <v>2094.0767416480603</v>
      </c>
      <c r="H94">
        <f t="shared" si="15"/>
        <v>14714.224627275911</v>
      </c>
    </row>
    <row r="95" spans="1:8" x14ac:dyDescent="0.3">
      <c r="A95">
        <f t="shared" si="9"/>
        <v>22</v>
      </c>
      <c r="B95">
        <f t="shared" si="10"/>
        <v>2094.0767416480603</v>
      </c>
      <c r="C95">
        <f t="shared" si="11"/>
        <v>13</v>
      </c>
      <c r="D95" s="2">
        <f t="shared" si="8"/>
        <v>-40.881457713402163</v>
      </c>
      <c r="E95">
        <f t="shared" si="12"/>
        <v>4430.2655422865973</v>
      </c>
      <c r="F95" s="2">
        <f t="shared" si="13"/>
        <v>340.78965709896903</v>
      </c>
      <c r="G95" s="2">
        <f t="shared" si="14"/>
        <v>2179.2741559228025</v>
      </c>
      <c r="H95">
        <f t="shared" si="15"/>
        <v>15237.743812687926</v>
      </c>
    </row>
    <row r="96" spans="1:8" x14ac:dyDescent="0.3">
      <c r="A96">
        <f t="shared" si="9"/>
        <v>22.25</v>
      </c>
      <c r="B96">
        <f t="shared" si="10"/>
        <v>2179.2741559228025</v>
      </c>
      <c r="C96">
        <f t="shared" si="11"/>
        <v>12</v>
      </c>
      <c r="D96" s="2">
        <f t="shared" si="8"/>
        <v>-42.544717908070538</v>
      </c>
      <c r="E96">
        <f t="shared" si="12"/>
        <v>4437.7832820919302</v>
      </c>
      <c r="F96" s="2">
        <f t="shared" si="13"/>
        <v>369.81527350766083</v>
      </c>
      <c r="G96" s="2">
        <f t="shared" si="14"/>
        <v>2271.7279742997175</v>
      </c>
      <c r="H96">
        <f t="shared" si="15"/>
        <v>15782.562351668626</v>
      </c>
    </row>
    <row r="97" spans="1:8" x14ac:dyDescent="0.3">
      <c r="A97">
        <f t="shared" si="9"/>
        <v>22.5</v>
      </c>
      <c r="B97">
        <f t="shared" si="10"/>
        <v>2271.7279742997175</v>
      </c>
      <c r="C97">
        <f t="shared" si="11"/>
        <v>11</v>
      </c>
      <c r="D97" s="2">
        <f t="shared" si="8"/>
        <v>-44.349640713069462</v>
      </c>
      <c r="E97">
        <f t="shared" si="12"/>
        <v>4445.1593592869303</v>
      </c>
      <c r="F97" s="2">
        <f t="shared" si="13"/>
        <v>404.10539629881185</v>
      </c>
      <c r="G97" s="2">
        <f t="shared" si="14"/>
        <v>2372.7543233744204</v>
      </c>
      <c r="H97">
        <f t="shared" si="15"/>
        <v>16350.494345243556</v>
      </c>
    </row>
    <row r="98" spans="1:8" x14ac:dyDescent="0.3">
      <c r="A98">
        <f t="shared" si="9"/>
        <v>22.75</v>
      </c>
      <c r="B98">
        <f t="shared" si="10"/>
        <v>2372.7543233744204</v>
      </c>
      <c r="C98">
        <f t="shared" si="11"/>
        <v>10</v>
      </c>
      <c r="D98" s="2">
        <f t="shared" si="8"/>
        <v>-46.321920112145563</v>
      </c>
      <c r="E98">
        <f t="shared" si="12"/>
        <v>4452.368079887854</v>
      </c>
      <c r="F98" s="2">
        <f t="shared" si="13"/>
        <v>445.23680798878542</v>
      </c>
      <c r="G98" s="2">
        <f t="shared" si="14"/>
        <v>2484.0635253716168</v>
      </c>
      <c r="H98">
        <f t="shared" si="15"/>
        <v>16943.68292608716</v>
      </c>
    </row>
    <row r="99" spans="1:8" x14ac:dyDescent="0.3">
      <c r="A99">
        <f t="shared" si="9"/>
        <v>23</v>
      </c>
      <c r="B99">
        <f t="shared" si="10"/>
        <v>2484.0635253716168</v>
      </c>
      <c r="C99">
        <f t="shared" si="11"/>
        <v>9</v>
      </c>
      <c r="D99" s="2">
        <f t="shared" si="8"/>
        <v>-48.494945743947213</v>
      </c>
      <c r="E99">
        <f t="shared" si="12"/>
        <v>4459.3760542560531</v>
      </c>
      <c r="F99" s="2">
        <f t="shared" si="13"/>
        <v>495.48622825067258</v>
      </c>
      <c r="G99" s="2">
        <f t="shared" si="14"/>
        <v>2607.9350824342851</v>
      </c>
      <c r="H99">
        <f t="shared" si="15"/>
        <v>17564.698807430064</v>
      </c>
    </row>
    <row r="100" spans="1:8" x14ac:dyDescent="0.3">
      <c r="A100">
        <f t="shared" si="9"/>
        <v>23.25</v>
      </c>
      <c r="B100">
        <f t="shared" si="10"/>
        <v>2607.9350824342851</v>
      </c>
      <c r="C100">
        <f t="shared" si="11"/>
        <v>8</v>
      </c>
      <c r="D100" s="2">
        <f t="shared" si="8"/>
        <v>-50.913219019818314</v>
      </c>
      <c r="E100">
        <f t="shared" si="12"/>
        <v>4466.1387809801818</v>
      </c>
      <c r="F100" s="2">
        <f t="shared" si="13"/>
        <v>558.26734762252272</v>
      </c>
      <c r="G100" s="2">
        <f t="shared" si="14"/>
        <v>2747.5019193399157</v>
      </c>
      <c r="H100">
        <f t="shared" si="15"/>
        <v>18216.682578038635</v>
      </c>
    </row>
    <row r="101" spans="1:8" x14ac:dyDescent="0.3">
      <c r="A101">
        <f t="shared" si="9"/>
        <v>23.5</v>
      </c>
      <c r="B101">
        <f t="shared" si="10"/>
        <v>2747.5019193399157</v>
      </c>
      <c r="C101">
        <f t="shared" si="11"/>
        <v>7</v>
      </c>
      <c r="D101" s="2">
        <f t="shared" si="8"/>
        <v>-53.637902231122411</v>
      </c>
      <c r="E101">
        <f t="shared" si="12"/>
        <v>4472.5950977688781</v>
      </c>
      <c r="F101" s="2">
        <f t="shared" si="13"/>
        <v>638.94215682412539</v>
      </c>
      <c r="G101" s="2">
        <f t="shared" si="14"/>
        <v>2907.237458545947</v>
      </c>
      <c r="H101">
        <f t="shared" si="15"/>
        <v>18903.558057873615</v>
      </c>
    </row>
    <row r="102" spans="1:8" x14ac:dyDescent="0.3">
      <c r="A102">
        <f t="shared" si="9"/>
        <v>23.75</v>
      </c>
      <c r="B102">
        <f t="shared" si="10"/>
        <v>2907.237458545947</v>
      </c>
      <c r="C102">
        <f t="shared" si="11"/>
        <v>6</v>
      </c>
      <c r="D102" s="2">
        <f t="shared" si="8"/>
        <v>-56.756327435654072</v>
      </c>
      <c r="E102">
        <f t="shared" si="12"/>
        <v>4478.6576725643454</v>
      </c>
      <c r="F102" s="2">
        <f t="shared" si="13"/>
        <v>746.4429454273909</v>
      </c>
      <c r="G102" s="2">
        <f t="shared" si="14"/>
        <v>3093.8481949027946</v>
      </c>
      <c r="H102">
        <f t="shared" si="15"/>
        <v>19630.367422510102</v>
      </c>
    </row>
    <row r="103" spans="1:8" x14ac:dyDescent="0.3">
      <c r="A103">
        <f t="shared" si="9"/>
        <v>24</v>
      </c>
      <c r="B103">
        <f t="shared" si="10"/>
        <v>3093.8481949027946</v>
      </c>
      <c r="C103">
        <f t="shared" si="11"/>
        <v>5</v>
      </c>
      <c r="D103" s="2">
        <f t="shared" si="8"/>
        <v>-60.399421681204629</v>
      </c>
      <c r="E103">
        <f t="shared" si="12"/>
        <v>4484.1955783187959</v>
      </c>
      <c r="F103" s="2">
        <f t="shared" si="13"/>
        <v>896.83911566375923</v>
      </c>
      <c r="G103" s="2">
        <f t="shared" si="14"/>
        <v>3318.0579738187344</v>
      </c>
      <c r="H103">
        <f t="shared" si="15"/>
        <v>20403.8294712358</v>
      </c>
    </row>
    <row r="104" spans="1:8" x14ac:dyDescent="0.3">
      <c r="A104">
        <f t="shared" si="9"/>
        <v>24.25</v>
      </c>
      <c r="B104">
        <f t="shared" si="10"/>
        <v>3318.0579738187344</v>
      </c>
      <c r="C104">
        <f t="shared" si="11"/>
        <v>4</v>
      </c>
      <c r="D104" s="2">
        <f t="shared" si="8"/>
        <v>-64.776540443561672</v>
      </c>
      <c r="E104">
        <f t="shared" si="12"/>
        <v>4488.9994595564385</v>
      </c>
      <c r="F104" s="2">
        <f t="shared" si="13"/>
        <v>1122.2498648891096</v>
      </c>
      <c r="G104" s="2">
        <f t="shared" si="14"/>
        <v>3598.6204400410115</v>
      </c>
      <c r="H104">
        <f t="shared" si="15"/>
        <v>21233.343964690484</v>
      </c>
    </row>
    <row r="105" spans="1:8" x14ac:dyDescent="0.3">
      <c r="A105">
        <f t="shared" si="9"/>
        <v>24.5</v>
      </c>
      <c r="B105">
        <f t="shared" si="10"/>
        <v>3598.6204400410115</v>
      </c>
      <c r="C105">
        <f t="shared" si="11"/>
        <v>3</v>
      </c>
      <c r="D105" s="2">
        <f t="shared" si="8"/>
        <v>-70.25380035993274</v>
      </c>
      <c r="E105">
        <f t="shared" si="12"/>
        <v>4492.7031996400674</v>
      </c>
      <c r="F105" s="2">
        <f t="shared" si="13"/>
        <v>1497.5677332133557</v>
      </c>
      <c r="G105" s="2">
        <f t="shared" si="14"/>
        <v>3973.0123733443506</v>
      </c>
      <c r="H105">
        <f t="shared" si="15"/>
        <v>22132.999074700736</v>
      </c>
    </row>
    <row r="106" spans="1:8" x14ac:dyDescent="0.3">
      <c r="A106">
        <f t="shared" si="9"/>
        <v>24.75</v>
      </c>
      <c r="B106">
        <f t="shared" si="10"/>
        <v>3973.0123733443506</v>
      </c>
      <c r="C106">
        <f t="shared" si="11"/>
        <v>1.9999999999999998</v>
      </c>
      <c r="D106" s="2">
        <f t="shared" si="8"/>
        <v>-77.562839080993939</v>
      </c>
      <c r="E106">
        <f t="shared" si="12"/>
        <v>4494.5751609190056</v>
      </c>
      <c r="F106" s="2">
        <f t="shared" si="13"/>
        <v>2247.2875804595033</v>
      </c>
      <c r="G106" s="2">
        <f t="shared" si="14"/>
        <v>4534.8342684592262</v>
      </c>
      <c r="H106">
        <f t="shared" si="15"/>
        <v>23126.252168036823</v>
      </c>
    </row>
    <row r="107" spans="1:8" x14ac:dyDescent="0.3">
      <c r="A107">
        <f t="shared" si="9"/>
        <v>25</v>
      </c>
      <c r="B107">
        <f t="shared" si="10"/>
        <v>4534.8342684592262</v>
      </c>
      <c r="C107">
        <f t="shared" si="11"/>
        <v>0.99999999999999956</v>
      </c>
      <c r="D107" s="2">
        <f t="shared" si="8"/>
        <v>-88.530965315721204</v>
      </c>
      <c r="E107">
        <f t="shared" si="12"/>
        <v>4492.7880346842794</v>
      </c>
      <c r="F107" s="2">
        <f t="shared" si="13"/>
        <v>4492.7880346842812</v>
      </c>
      <c r="G107" s="2">
        <f t="shared" si="14"/>
        <v>5658.0312771302961</v>
      </c>
      <c r="H107">
        <f t="shared" si="15"/>
        <v>24259.960735151628</v>
      </c>
    </row>
    <row r="108" spans="1:8" x14ac:dyDescent="0.3">
      <c r="A108">
        <f t="shared" si="9"/>
        <v>25.25</v>
      </c>
      <c r="B108">
        <f t="shared" si="10"/>
        <v>5658.0312771302961</v>
      </c>
      <c r="C108">
        <f t="shared" si="11"/>
        <v>0</v>
      </c>
      <c r="D108" s="2">
        <f t="shared" si="8"/>
        <v>-110.45849552536778</v>
      </c>
      <c r="E108">
        <f t="shared" si="12"/>
        <v>4480.0415044746323</v>
      </c>
      <c r="F108" s="2" t="e">
        <f t="shared" si="13"/>
        <v>#DIV/0!</v>
      </c>
      <c r="G108" s="2" t="e">
        <f t="shared" si="14"/>
        <v>#DIV/0!</v>
      </c>
      <c r="H108">
        <f t="shared" si="15"/>
        <v>25674.468554434203</v>
      </c>
    </row>
    <row r="109" spans="1:8" x14ac:dyDescent="0.3">
      <c r="A109">
        <f t="shared" si="9"/>
        <v>25.5</v>
      </c>
      <c r="B109" t="e">
        <f t="shared" si="10"/>
        <v>#DIV/0!</v>
      </c>
      <c r="C109">
        <f t="shared" si="11"/>
        <v>-1.0000000000000002</v>
      </c>
      <c r="D109" s="2" t="e">
        <f t="shared" si="8"/>
        <v>#DIV/0!</v>
      </c>
      <c r="E109" t="e">
        <f t="shared" si="12"/>
        <v>#DIV/0!</v>
      </c>
      <c r="F109" s="2" t="e">
        <f t="shared" si="13"/>
        <v>#DIV/0!</v>
      </c>
      <c r="G109" s="2" t="e">
        <f t="shared" si="14"/>
        <v>#DIV/0!</v>
      </c>
      <c r="H109" t="e">
        <f t="shared" si="15"/>
        <v>#DIV/0!</v>
      </c>
    </row>
    <row r="110" spans="1:8" x14ac:dyDescent="0.3">
      <c r="A110">
        <f t="shared" si="9"/>
        <v>25.75</v>
      </c>
      <c r="B110" t="e">
        <f t="shared" si="10"/>
        <v>#DIV/0!</v>
      </c>
      <c r="C110">
        <f t="shared" si="11"/>
        <v>-2.0000000000000004</v>
      </c>
      <c r="D110" s="2" t="e">
        <f t="shared" si="8"/>
        <v>#DIV/0!</v>
      </c>
      <c r="E110" t="e">
        <f t="shared" si="12"/>
        <v>#DIV/0!</v>
      </c>
      <c r="F110" s="2" t="e">
        <f t="shared" si="13"/>
        <v>#DIV/0!</v>
      </c>
      <c r="G110" s="2" t="e">
        <f t="shared" si="14"/>
        <v>#DIV/0!</v>
      </c>
      <c r="H110" t="e">
        <f t="shared" si="15"/>
        <v>#DIV/0!</v>
      </c>
    </row>
    <row r="111" spans="1:8" x14ac:dyDescent="0.3">
      <c r="A111">
        <f t="shared" si="9"/>
        <v>26</v>
      </c>
      <c r="B111" t="e">
        <f t="shared" si="10"/>
        <v>#DIV/0!</v>
      </c>
      <c r="C111">
        <f t="shared" si="11"/>
        <v>-3.0000000000000009</v>
      </c>
      <c r="D111" s="2" t="e">
        <f t="shared" si="8"/>
        <v>#DIV/0!</v>
      </c>
      <c r="E111" t="e">
        <f t="shared" si="12"/>
        <v>#DIV/0!</v>
      </c>
      <c r="F111" s="2" t="e">
        <f t="shared" si="13"/>
        <v>#DIV/0!</v>
      </c>
      <c r="G111" s="2" t="e">
        <f t="shared" si="14"/>
        <v>#DIV/0!</v>
      </c>
      <c r="H111" t="e">
        <f t="shared" si="15"/>
        <v>#DIV/0!</v>
      </c>
    </row>
    <row r="112" spans="1:8" x14ac:dyDescent="0.3">
      <c r="A112">
        <f t="shared" si="9"/>
        <v>26.25</v>
      </c>
      <c r="B112" t="e">
        <f t="shared" si="10"/>
        <v>#DIV/0!</v>
      </c>
      <c r="C112">
        <f t="shared" si="11"/>
        <v>-4.0000000000000009</v>
      </c>
      <c r="D112" s="2" t="e">
        <f t="shared" si="8"/>
        <v>#DIV/0!</v>
      </c>
      <c r="E112" t="e">
        <f t="shared" si="12"/>
        <v>#DIV/0!</v>
      </c>
      <c r="F112" s="2" t="e">
        <f t="shared" si="13"/>
        <v>#DIV/0!</v>
      </c>
      <c r="G112" s="2" t="e">
        <f t="shared" si="14"/>
        <v>#DIV/0!</v>
      </c>
      <c r="H112" t="e">
        <f t="shared" si="15"/>
        <v>#DIV/0!</v>
      </c>
    </row>
    <row r="113" spans="1:8" x14ac:dyDescent="0.3">
      <c r="A113">
        <f t="shared" si="9"/>
        <v>26.5</v>
      </c>
      <c r="B113" t="e">
        <f t="shared" si="10"/>
        <v>#DIV/0!</v>
      </c>
      <c r="C113">
        <f t="shared" si="11"/>
        <v>-5.0000000000000009</v>
      </c>
      <c r="D113" s="2" t="e">
        <f t="shared" si="8"/>
        <v>#DIV/0!</v>
      </c>
      <c r="E113" t="e">
        <f t="shared" si="12"/>
        <v>#DIV/0!</v>
      </c>
      <c r="F113" s="2" t="e">
        <f t="shared" si="13"/>
        <v>#DIV/0!</v>
      </c>
      <c r="G113" s="2" t="e">
        <f t="shared" si="14"/>
        <v>#DIV/0!</v>
      </c>
      <c r="H113" t="e">
        <f t="shared" si="15"/>
        <v>#DIV/0!</v>
      </c>
    </row>
    <row r="114" spans="1:8" x14ac:dyDescent="0.3">
      <c r="A114">
        <f t="shared" si="9"/>
        <v>26.75</v>
      </c>
      <c r="B114" t="e">
        <f t="shared" si="10"/>
        <v>#DIV/0!</v>
      </c>
      <c r="C114">
        <f t="shared" si="11"/>
        <v>-6.0000000000000009</v>
      </c>
      <c r="D114" s="2" t="e">
        <f t="shared" si="8"/>
        <v>#DIV/0!</v>
      </c>
      <c r="E114" t="e">
        <f t="shared" si="12"/>
        <v>#DIV/0!</v>
      </c>
      <c r="F114" s="2" t="e">
        <f t="shared" si="13"/>
        <v>#DIV/0!</v>
      </c>
      <c r="G114" s="2" t="e">
        <f t="shared" si="14"/>
        <v>#DIV/0!</v>
      </c>
      <c r="H114" t="e">
        <f t="shared" si="15"/>
        <v>#DIV/0!</v>
      </c>
    </row>
    <row r="115" spans="1:8" x14ac:dyDescent="0.3">
      <c r="A115">
        <f t="shared" si="9"/>
        <v>27</v>
      </c>
      <c r="B115" t="e">
        <f t="shared" si="10"/>
        <v>#DIV/0!</v>
      </c>
      <c r="C115">
        <f t="shared" si="11"/>
        <v>-7.0000000000000009</v>
      </c>
      <c r="D115" s="2" t="e">
        <f t="shared" si="8"/>
        <v>#DIV/0!</v>
      </c>
      <c r="E115" t="e">
        <f t="shared" si="12"/>
        <v>#DIV/0!</v>
      </c>
      <c r="F115" s="2" t="e">
        <f t="shared" si="13"/>
        <v>#DIV/0!</v>
      </c>
      <c r="G115" s="2" t="e">
        <f t="shared" si="14"/>
        <v>#DIV/0!</v>
      </c>
      <c r="H115" t="e">
        <f t="shared" si="15"/>
        <v>#DIV/0!</v>
      </c>
    </row>
    <row r="116" spans="1:8" x14ac:dyDescent="0.3">
      <c r="A116">
        <f t="shared" si="9"/>
        <v>27.25</v>
      </c>
      <c r="B116" t="e">
        <f t="shared" si="10"/>
        <v>#DIV/0!</v>
      </c>
      <c r="C116">
        <f t="shared" si="11"/>
        <v>-8.0000000000000018</v>
      </c>
      <c r="D116" s="2" t="e">
        <f t="shared" si="8"/>
        <v>#DIV/0!</v>
      </c>
      <c r="E116" t="e">
        <f t="shared" si="12"/>
        <v>#DIV/0!</v>
      </c>
      <c r="F116" s="2" t="e">
        <f t="shared" si="13"/>
        <v>#DIV/0!</v>
      </c>
      <c r="G116" s="2" t="e">
        <f t="shared" si="14"/>
        <v>#DIV/0!</v>
      </c>
      <c r="H116" t="e">
        <f t="shared" si="15"/>
        <v>#DIV/0!</v>
      </c>
    </row>
    <row r="117" spans="1:8" x14ac:dyDescent="0.3">
      <c r="A117">
        <f t="shared" ref="A117:A180" si="16">$A$6+A116</f>
        <v>27.5</v>
      </c>
      <c r="B117" t="e">
        <f t="shared" ref="B117:B180" si="17">G116</f>
        <v>#DIV/0!</v>
      </c>
      <c r="C117">
        <f t="shared" ref="C117:C180" si="18">C116-(A117-A116)*$C$3</f>
        <v>-9.0000000000000018</v>
      </c>
      <c r="D117" s="2" t="e">
        <f t="shared" ref="D117:D180" si="19">-0.5*1.204*B117*$E$2^2*PI()/4</f>
        <v>#DIV/0!</v>
      </c>
      <c r="E117" t="e">
        <f t="shared" ref="E117:E180" si="20">D117+$D$6-C117*9.181</f>
        <v>#DIV/0!</v>
      </c>
      <c r="F117" s="2" t="e">
        <f t="shared" ref="F117:F180" si="21">E117/C117</f>
        <v>#DIV/0!</v>
      </c>
      <c r="G117" s="2" t="e">
        <f t="shared" ref="G117:G180" si="22">F117*$A$6+B117</f>
        <v>#DIV/0!</v>
      </c>
      <c r="H117" t="e">
        <f t="shared" ref="H117:H180" si="23">B117*$A$6+H116</f>
        <v>#DIV/0!</v>
      </c>
    </row>
    <row r="118" spans="1:8" x14ac:dyDescent="0.3">
      <c r="A118">
        <f t="shared" si="16"/>
        <v>27.75</v>
      </c>
      <c r="B118" t="e">
        <f t="shared" si="17"/>
        <v>#DIV/0!</v>
      </c>
      <c r="C118">
        <f t="shared" si="18"/>
        <v>-10.000000000000002</v>
      </c>
      <c r="D118" s="2" t="e">
        <f t="shared" si="19"/>
        <v>#DIV/0!</v>
      </c>
      <c r="E118" t="e">
        <f t="shared" si="20"/>
        <v>#DIV/0!</v>
      </c>
      <c r="F118" s="2" t="e">
        <f t="shared" si="21"/>
        <v>#DIV/0!</v>
      </c>
      <c r="G118" s="2" t="e">
        <f t="shared" si="22"/>
        <v>#DIV/0!</v>
      </c>
      <c r="H118" t="e">
        <f t="shared" si="23"/>
        <v>#DIV/0!</v>
      </c>
    </row>
    <row r="119" spans="1:8" x14ac:dyDescent="0.3">
      <c r="A119">
        <f t="shared" si="16"/>
        <v>28</v>
      </c>
      <c r="B119" t="e">
        <f t="shared" si="17"/>
        <v>#DIV/0!</v>
      </c>
      <c r="C119">
        <f t="shared" si="18"/>
        <v>-11.000000000000002</v>
      </c>
      <c r="D119" s="2" t="e">
        <f t="shared" si="19"/>
        <v>#DIV/0!</v>
      </c>
      <c r="E119" t="e">
        <f t="shared" si="20"/>
        <v>#DIV/0!</v>
      </c>
      <c r="F119" s="2" t="e">
        <f t="shared" si="21"/>
        <v>#DIV/0!</v>
      </c>
      <c r="G119" s="2" t="e">
        <f t="shared" si="22"/>
        <v>#DIV/0!</v>
      </c>
      <c r="H119" t="e">
        <f t="shared" si="23"/>
        <v>#DIV/0!</v>
      </c>
    </row>
    <row r="120" spans="1:8" x14ac:dyDescent="0.3">
      <c r="A120">
        <f t="shared" si="16"/>
        <v>28.25</v>
      </c>
      <c r="B120" t="e">
        <f t="shared" si="17"/>
        <v>#DIV/0!</v>
      </c>
      <c r="C120">
        <f t="shared" si="18"/>
        <v>-12.000000000000002</v>
      </c>
      <c r="D120" s="2" t="e">
        <f t="shared" si="19"/>
        <v>#DIV/0!</v>
      </c>
      <c r="E120" t="e">
        <f t="shared" si="20"/>
        <v>#DIV/0!</v>
      </c>
      <c r="F120" s="2" t="e">
        <f t="shared" si="21"/>
        <v>#DIV/0!</v>
      </c>
      <c r="G120" s="2" t="e">
        <f t="shared" si="22"/>
        <v>#DIV/0!</v>
      </c>
      <c r="H120" t="e">
        <f t="shared" si="23"/>
        <v>#DIV/0!</v>
      </c>
    </row>
    <row r="121" spans="1:8" x14ac:dyDescent="0.3">
      <c r="A121">
        <f t="shared" si="16"/>
        <v>28.5</v>
      </c>
      <c r="B121" t="e">
        <f t="shared" si="17"/>
        <v>#DIV/0!</v>
      </c>
      <c r="C121">
        <f t="shared" si="18"/>
        <v>-13.000000000000002</v>
      </c>
      <c r="D121" s="2" t="e">
        <f t="shared" si="19"/>
        <v>#DIV/0!</v>
      </c>
      <c r="E121" t="e">
        <f t="shared" si="20"/>
        <v>#DIV/0!</v>
      </c>
      <c r="F121" s="2" t="e">
        <f t="shared" si="21"/>
        <v>#DIV/0!</v>
      </c>
      <c r="G121" s="2" t="e">
        <f t="shared" si="22"/>
        <v>#DIV/0!</v>
      </c>
      <c r="H121" t="e">
        <f t="shared" si="23"/>
        <v>#DIV/0!</v>
      </c>
    </row>
    <row r="122" spans="1:8" x14ac:dyDescent="0.3">
      <c r="A122">
        <f t="shared" si="16"/>
        <v>28.75</v>
      </c>
      <c r="B122" t="e">
        <f t="shared" si="17"/>
        <v>#DIV/0!</v>
      </c>
      <c r="C122">
        <f t="shared" si="18"/>
        <v>-14.000000000000002</v>
      </c>
      <c r="D122" s="2" t="e">
        <f t="shared" si="19"/>
        <v>#DIV/0!</v>
      </c>
      <c r="E122" t="e">
        <f t="shared" si="20"/>
        <v>#DIV/0!</v>
      </c>
      <c r="F122" s="2" t="e">
        <f t="shared" si="21"/>
        <v>#DIV/0!</v>
      </c>
      <c r="G122" s="2" t="e">
        <f t="shared" si="22"/>
        <v>#DIV/0!</v>
      </c>
      <c r="H122" t="e">
        <f t="shared" si="23"/>
        <v>#DIV/0!</v>
      </c>
    </row>
    <row r="123" spans="1:8" x14ac:dyDescent="0.3">
      <c r="A123">
        <f t="shared" si="16"/>
        <v>29</v>
      </c>
      <c r="B123" t="e">
        <f t="shared" si="17"/>
        <v>#DIV/0!</v>
      </c>
      <c r="C123">
        <f t="shared" si="18"/>
        <v>-15.000000000000002</v>
      </c>
      <c r="D123" s="2" t="e">
        <f t="shared" si="19"/>
        <v>#DIV/0!</v>
      </c>
      <c r="E123" t="e">
        <f t="shared" si="20"/>
        <v>#DIV/0!</v>
      </c>
      <c r="F123" s="2" t="e">
        <f t="shared" si="21"/>
        <v>#DIV/0!</v>
      </c>
      <c r="G123" s="2" t="e">
        <f t="shared" si="22"/>
        <v>#DIV/0!</v>
      </c>
      <c r="H123" t="e">
        <f t="shared" si="23"/>
        <v>#DIV/0!</v>
      </c>
    </row>
    <row r="124" spans="1:8" x14ac:dyDescent="0.3">
      <c r="A124">
        <f t="shared" si="16"/>
        <v>29.25</v>
      </c>
      <c r="B124" t="e">
        <f t="shared" si="17"/>
        <v>#DIV/0!</v>
      </c>
      <c r="C124">
        <f t="shared" si="18"/>
        <v>-16.000000000000004</v>
      </c>
      <c r="D124" s="2" t="e">
        <f t="shared" si="19"/>
        <v>#DIV/0!</v>
      </c>
      <c r="E124" t="e">
        <f t="shared" si="20"/>
        <v>#DIV/0!</v>
      </c>
      <c r="F124" s="2" t="e">
        <f t="shared" si="21"/>
        <v>#DIV/0!</v>
      </c>
      <c r="G124" s="2" t="e">
        <f t="shared" si="22"/>
        <v>#DIV/0!</v>
      </c>
      <c r="H124" t="e">
        <f t="shared" si="23"/>
        <v>#DIV/0!</v>
      </c>
    </row>
    <row r="125" spans="1:8" x14ac:dyDescent="0.3">
      <c r="A125">
        <f t="shared" si="16"/>
        <v>29.5</v>
      </c>
      <c r="B125" t="e">
        <f t="shared" si="17"/>
        <v>#DIV/0!</v>
      </c>
      <c r="C125">
        <f t="shared" si="18"/>
        <v>-17.000000000000004</v>
      </c>
      <c r="D125" s="2" t="e">
        <f t="shared" si="19"/>
        <v>#DIV/0!</v>
      </c>
      <c r="E125" t="e">
        <f t="shared" si="20"/>
        <v>#DIV/0!</v>
      </c>
      <c r="F125" s="2" t="e">
        <f t="shared" si="21"/>
        <v>#DIV/0!</v>
      </c>
      <c r="G125" s="2" t="e">
        <f t="shared" si="22"/>
        <v>#DIV/0!</v>
      </c>
      <c r="H125" t="e">
        <f t="shared" si="23"/>
        <v>#DIV/0!</v>
      </c>
    </row>
    <row r="126" spans="1:8" x14ac:dyDescent="0.3">
      <c r="A126">
        <f t="shared" si="16"/>
        <v>29.75</v>
      </c>
      <c r="B126" t="e">
        <f t="shared" si="17"/>
        <v>#DIV/0!</v>
      </c>
      <c r="C126">
        <f t="shared" si="18"/>
        <v>-18.000000000000004</v>
      </c>
      <c r="D126" s="2" t="e">
        <f t="shared" si="19"/>
        <v>#DIV/0!</v>
      </c>
      <c r="E126" t="e">
        <f t="shared" si="20"/>
        <v>#DIV/0!</v>
      </c>
      <c r="F126" s="2" t="e">
        <f t="shared" si="21"/>
        <v>#DIV/0!</v>
      </c>
      <c r="G126" s="2" t="e">
        <f t="shared" si="22"/>
        <v>#DIV/0!</v>
      </c>
      <c r="H126" t="e">
        <f t="shared" si="23"/>
        <v>#DIV/0!</v>
      </c>
    </row>
    <row r="127" spans="1:8" x14ac:dyDescent="0.3">
      <c r="A127">
        <f t="shared" si="16"/>
        <v>30</v>
      </c>
      <c r="B127" t="e">
        <f t="shared" si="17"/>
        <v>#DIV/0!</v>
      </c>
      <c r="C127">
        <f t="shared" si="18"/>
        <v>-19.000000000000004</v>
      </c>
      <c r="D127" s="2" t="e">
        <f t="shared" si="19"/>
        <v>#DIV/0!</v>
      </c>
      <c r="E127" t="e">
        <f t="shared" si="20"/>
        <v>#DIV/0!</v>
      </c>
      <c r="F127" s="2" t="e">
        <f t="shared" si="21"/>
        <v>#DIV/0!</v>
      </c>
      <c r="G127" s="2" t="e">
        <f t="shared" si="22"/>
        <v>#DIV/0!</v>
      </c>
      <c r="H127" t="e">
        <f t="shared" si="23"/>
        <v>#DIV/0!</v>
      </c>
    </row>
    <row r="128" spans="1:8" x14ac:dyDescent="0.3">
      <c r="A128">
        <f t="shared" si="16"/>
        <v>30.25</v>
      </c>
      <c r="B128" t="e">
        <f t="shared" si="17"/>
        <v>#DIV/0!</v>
      </c>
      <c r="C128">
        <f t="shared" si="18"/>
        <v>-20.000000000000004</v>
      </c>
      <c r="D128" s="2" t="e">
        <f t="shared" si="19"/>
        <v>#DIV/0!</v>
      </c>
      <c r="E128" t="e">
        <f t="shared" si="20"/>
        <v>#DIV/0!</v>
      </c>
      <c r="F128" s="2" t="e">
        <f t="shared" si="21"/>
        <v>#DIV/0!</v>
      </c>
      <c r="G128" s="2" t="e">
        <f t="shared" si="22"/>
        <v>#DIV/0!</v>
      </c>
      <c r="H128" t="e">
        <f t="shared" si="23"/>
        <v>#DIV/0!</v>
      </c>
    </row>
    <row r="129" spans="1:8" x14ac:dyDescent="0.3">
      <c r="A129">
        <f t="shared" si="16"/>
        <v>30.5</v>
      </c>
      <c r="B129" t="e">
        <f t="shared" si="17"/>
        <v>#DIV/0!</v>
      </c>
      <c r="C129">
        <f t="shared" si="18"/>
        <v>-21.000000000000004</v>
      </c>
      <c r="D129" s="2" t="e">
        <f t="shared" si="19"/>
        <v>#DIV/0!</v>
      </c>
      <c r="E129" t="e">
        <f t="shared" si="20"/>
        <v>#DIV/0!</v>
      </c>
      <c r="F129" s="2" t="e">
        <f t="shared" si="21"/>
        <v>#DIV/0!</v>
      </c>
      <c r="G129" s="2" t="e">
        <f t="shared" si="22"/>
        <v>#DIV/0!</v>
      </c>
      <c r="H129" t="e">
        <f t="shared" si="23"/>
        <v>#DIV/0!</v>
      </c>
    </row>
    <row r="130" spans="1:8" x14ac:dyDescent="0.3">
      <c r="A130">
        <f t="shared" si="16"/>
        <v>30.75</v>
      </c>
      <c r="B130" t="e">
        <f t="shared" si="17"/>
        <v>#DIV/0!</v>
      </c>
      <c r="C130">
        <f t="shared" si="18"/>
        <v>-22.000000000000004</v>
      </c>
      <c r="D130" s="2" t="e">
        <f t="shared" si="19"/>
        <v>#DIV/0!</v>
      </c>
      <c r="E130" t="e">
        <f t="shared" si="20"/>
        <v>#DIV/0!</v>
      </c>
      <c r="F130" s="2" t="e">
        <f t="shared" si="21"/>
        <v>#DIV/0!</v>
      </c>
      <c r="G130" s="2" t="e">
        <f t="shared" si="22"/>
        <v>#DIV/0!</v>
      </c>
      <c r="H130" t="e">
        <f t="shared" si="23"/>
        <v>#DIV/0!</v>
      </c>
    </row>
    <row r="131" spans="1:8" x14ac:dyDescent="0.3">
      <c r="A131">
        <f t="shared" si="16"/>
        <v>31</v>
      </c>
      <c r="B131" t="e">
        <f t="shared" si="17"/>
        <v>#DIV/0!</v>
      </c>
      <c r="C131">
        <f t="shared" si="18"/>
        <v>-23.000000000000004</v>
      </c>
      <c r="D131" s="2" t="e">
        <f t="shared" si="19"/>
        <v>#DIV/0!</v>
      </c>
      <c r="E131" t="e">
        <f t="shared" si="20"/>
        <v>#DIV/0!</v>
      </c>
      <c r="F131" s="2" t="e">
        <f t="shared" si="21"/>
        <v>#DIV/0!</v>
      </c>
      <c r="G131" s="2" t="e">
        <f t="shared" si="22"/>
        <v>#DIV/0!</v>
      </c>
      <c r="H131" t="e">
        <f t="shared" si="23"/>
        <v>#DIV/0!</v>
      </c>
    </row>
    <row r="132" spans="1:8" x14ac:dyDescent="0.3">
      <c r="A132">
        <f t="shared" si="16"/>
        <v>31.25</v>
      </c>
      <c r="B132" t="e">
        <f t="shared" si="17"/>
        <v>#DIV/0!</v>
      </c>
      <c r="C132">
        <f t="shared" si="18"/>
        <v>-24.000000000000004</v>
      </c>
      <c r="D132" s="2" t="e">
        <f t="shared" si="19"/>
        <v>#DIV/0!</v>
      </c>
      <c r="E132" t="e">
        <f t="shared" si="20"/>
        <v>#DIV/0!</v>
      </c>
      <c r="F132" s="2" t="e">
        <f t="shared" si="21"/>
        <v>#DIV/0!</v>
      </c>
      <c r="G132" s="2" t="e">
        <f t="shared" si="22"/>
        <v>#DIV/0!</v>
      </c>
      <c r="H132" t="e">
        <f t="shared" si="23"/>
        <v>#DIV/0!</v>
      </c>
    </row>
    <row r="133" spans="1:8" x14ac:dyDescent="0.3">
      <c r="A133">
        <f t="shared" si="16"/>
        <v>31.5</v>
      </c>
      <c r="B133" t="e">
        <f t="shared" si="17"/>
        <v>#DIV/0!</v>
      </c>
      <c r="C133">
        <f t="shared" si="18"/>
        <v>-25.000000000000004</v>
      </c>
      <c r="D133" s="2" t="e">
        <f t="shared" si="19"/>
        <v>#DIV/0!</v>
      </c>
      <c r="E133" t="e">
        <f t="shared" si="20"/>
        <v>#DIV/0!</v>
      </c>
      <c r="F133" s="2" t="e">
        <f t="shared" si="21"/>
        <v>#DIV/0!</v>
      </c>
      <c r="G133" s="2" t="e">
        <f t="shared" si="22"/>
        <v>#DIV/0!</v>
      </c>
      <c r="H133" t="e">
        <f t="shared" si="23"/>
        <v>#DIV/0!</v>
      </c>
    </row>
    <row r="134" spans="1:8" x14ac:dyDescent="0.3">
      <c r="A134">
        <f t="shared" si="16"/>
        <v>31.75</v>
      </c>
      <c r="B134" t="e">
        <f t="shared" si="17"/>
        <v>#DIV/0!</v>
      </c>
      <c r="C134">
        <f t="shared" si="18"/>
        <v>-26.000000000000004</v>
      </c>
      <c r="D134" s="2" t="e">
        <f t="shared" si="19"/>
        <v>#DIV/0!</v>
      </c>
      <c r="E134" t="e">
        <f t="shared" si="20"/>
        <v>#DIV/0!</v>
      </c>
      <c r="F134" s="2" t="e">
        <f t="shared" si="21"/>
        <v>#DIV/0!</v>
      </c>
      <c r="G134" s="2" t="e">
        <f t="shared" si="22"/>
        <v>#DIV/0!</v>
      </c>
      <c r="H134" t="e">
        <f t="shared" si="23"/>
        <v>#DIV/0!</v>
      </c>
    </row>
    <row r="135" spans="1:8" x14ac:dyDescent="0.3">
      <c r="A135">
        <f t="shared" si="16"/>
        <v>32</v>
      </c>
      <c r="B135" t="e">
        <f t="shared" si="17"/>
        <v>#DIV/0!</v>
      </c>
      <c r="C135">
        <f t="shared" si="18"/>
        <v>-27.000000000000004</v>
      </c>
      <c r="D135" s="2" t="e">
        <f t="shared" si="19"/>
        <v>#DIV/0!</v>
      </c>
      <c r="E135" t="e">
        <f t="shared" si="20"/>
        <v>#DIV/0!</v>
      </c>
      <c r="F135" s="2" t="e">
        <f t="shared" si="21"/>
        <v>#DIV/0!</v>
      </c>
      <c r="G135" s="2" t="e">
        <f t="shared" si="22"/>
        <v>#DIV/0!</v>
      </c>
      <c r="H135" t="e">
        <f t="shared" si="23"/>
        <v>#DIV/0!</v>
      </c>
    </row>
    <row r="136" spans="1:8" x14ac:dyDescent="0.3">
      <c r="A136">
        <f t="shared" si="16"/>
        <v>32.25</v>
      </c>
      <c r="B136" t="e">
        <f t="shared" si="17"/>
        <v>#DIV/0!</v>
      </c>
      <c r="C136">
        <f t="shared" si="18"/>
        <v>-28.000000000000004</v>
      </c>
      <c r="D136" s="2" t="e">
        <f t="shared" si="19"/>
        <v>#DIV/0!</v>
      </c>
      <c r="E136" t="e">
        <f t="shared" si="20"/>
        <v>#DIV/0!</v>
      </c>
      <c r="F136" s="2" t="e">
        <f t="shared" si="21"/>
        <v>#DIV/0!</v>
      </c>
      <c r="G136" s="2" t="e">
        <f t="shared" si="22"/>
        <v>#DIV/0!</v>
      </c>
      <c r="H136" t="e">
        <f t="shared" si="23"/>
        <v>#DIV/0!</v>
      </c>
    </row>
    <row r="137" spans="1:8" x14ac:dyDescent="0.3">
      <c r="A137">
        <f t="shared" si="16"/>
        <v>32.5</v>
      </c>
      <c r="B137" t="e">
        <f t="shared" si="17"/>
        <v>#DIV/0!</v>
      </c>
      <c r="C137">
        <f t="shared" si="18"/>
        <v>-29.000000000000004</v>
      </c>
      <c r="D137" s="2" t="e">
        <f t="shared" si="19"/>
        <v>#DIV/0!</v>
      </c>
      <c r="E137" t="e">
        <f t="shared" si="20"/>
        <v>#DIV/0!</v>
      </c>
      <c r="F137" s="2" t="e">
        <f t="shared" si="21"/>
        <v>#DIV/0!</v>
      </c>
      <c r="G137" s="2" t="e">
        <f t="shared" si="22"/>
        <v>#DIV/0!</v>
      </c>
      <c r="H137" t="e">
        <f t="shared" si="23"/>
        <v>#DIV/0!</v>
      </c>
    </row>
    <row r="138" spans="1:8" x14ac:dyDescent="0.3">
      <c r="A138">
        <f t="shared" si="16"/>
        <v>32.75</v>
      </c>
      <c r="B138" t="e">
        <f t="shared" si="17"/>
        <v>#DIV/0!</v>
      </c>
      <c r="C138">
        <f t="shared" si="18"/>
        <v>-30.000000000000004</v>
      </c>
      <c r="D138" s="2" t="e">
        <f t="shared" si="19"/>
        <v>#DIV/0!</v>
      </c>
      <c r="E138" t="e">
        <f t="shared" si="20"/>
        <v>#DIV/0!</v>
      </c>
      <c r="F138" s="2" t="e">
        <f t="shared" si="21"/>
        <v>#DIV/0!</v>
      </c>
      <c r="G138" s="2" t="e">
        <f t="shared" si="22"/>
        <v>#DIV/0!</v>
      </c>
      <c r="H138" t="e">
        <f t="shared" si="23"/>
        <v>#DIV/0!</v>
      </c>
    </row>
    <row r="139" spans="1:8" x14ac:dyDescent="0.3">
      <c r="A139">
        <f t="shared" si="16"/>
        <v>33</v>
      </c>
      <c r="B139" t="e">
        <f t="shared" si="17"/>
        <v>#DIV/0!</v>
      </c>
      <c r="C139">
        <f t="shared" si="18"/>
        <v>-31.000000000000004</v>
      </c>
      <c r="D139" s="2" t="e">
        <f t="shared" si="19"/>
        <v>#DIV/0!</v>
      </c>
      <c r="E139" t="e">
        <f t="shared" si="20"/>
        <v>#DIV/0!</v>
      </c>
      <c r="F139" s="2" t="e">
        <f t="shared" si="21"/>
        <v>#DIV/0!</v>
      </c>
      <c r="G139" s="2" t="e">
        <f t="shared" si="22"/>
        <v>#DIV/0!</v>
      </c>
      <c r="H139" t="e">
        <f t="shared" si="23"/>
        <v>#DIV/0!</v>
      </c>
    </row>
    <row r="140" spans="1:8" x14ac:dyDescent="0.3">
      <c r="A140">
        <f t="shared" si="16"/>
        <v>33.25</v>
      </c>
      <c r="B140" t="e">
        <f t="shared" si="17"/>
        <v>#DIV/0!</v>
      </c>
      <c r="C140">
        <f t="shared" si="18"/>
        <v>-32.000000000000007</v>
      </c>
      <c r="D140" s="2" t="e">
        <f t="shared" si="19"/>
        <v>#DIV/0!</v>
      </c>
      <c r="E140" t="e">
        <f t="shared" si="20"/>
        <v>#DIV/0!</v>
      </c>
      <c r="F140" s="2" t="e">
        <f t="shared" si="21"/>
        <v>#DIV/0!</v>
      </c>
      <c r="G140" s="2" t="e">
        <f t="shared" si="22"/>
        <v>#DIV/0!</v>
      </c>
      <c r="H140" t="e">
        <f t="shared" si="23"/>
        <v>#DIV/0!</v>
      </c>
    </row>
    <row r="141" spans="1:8" x14ac:dyDescent="0.3">
      <c r="A141">
        <f t="shared" si="16"/>
        <v>33.5</v>
      </c>
      <c r="B141" t="e">
        <f t="shared" si="17"/>
        <v>#DIV/0!</v>
      </c>
      <c r="C141">
        <f t="shared" si="18"/>
        <v>-33.000000000000007</v>
      </c>
      <c r="D141" s="2" t="e">
        <f t="shared" si="19"/>
        <v>#DIV/0!</v>
      </c>
      <c r="E141" t="e">
        <f t="shared" si="20"/>
        <v>#DIV/0!</v>
      </c>
      <c r="F141" s="2" t="e">
        <f t="shared" si="21"/>
        <v>#DIV/0!</v>
      </c>
      <c r="G141" s="2" t="e">
        <f t="shared" si="22"/>
        <v>#DIV/0!</v>
      </c>
      <c r="H141" t="e">
        <f t="shared" si="23"/>
        <v>#DIV/0!</v>
      </c>
    </row>
    <row r="142" spans="1:8" x14ac:dyDescent="0.3">
      <c r="A142">
        <f t="shared" si="16"/>
        <v>33.75</v>
      </c>
      <c r="B142" t="e">
        <f t="shared" si="17"/>
        <v>#DIV/0!</v>
      </c>
      <c r="C142">
        <f t="shared" si="18"/>
        <v>-34.000000000000007</v>
      </c>
      <c r="D142" s="2" t="e">
        <f t="shared" si="19"/>
        <v>#DIV/0!</v>
      </c>
      <c r="E142" t="e">
        <f t="shared" si="20"/>
        <v>#DIV/0!</v>
      </c>
      <c r="F142" s="2" t="e">
        <f t="shared" si="21"/>
        <v>#DIV/0!</v>
      </c>
      <c r="G142" s="2" t="e">
        <f t="shared" si="22"/>
        <v>#DIV/0!</v>
      </c>
      <c r="H142" t="e">
        <f t="shared" si="23"/>
        <v>#DIV/0!</v>
      </c>
    </row>
    <row r="143" spans="1:8" x14ac:dyDescent="0.3">
      <c r="A143">
        <f t="shared" si="16"/>
        <v>34</v>
      </c>
      <c r="B143" t="e">
        <f t="shared" si="17"/>
        <v>#DIV/0!</v>
      </c>
      <c r="C143">
        <f t="shared" si="18"/>
        <v>-35.000000000000007</v>
      </c>
      <c r="D143" s="2" t="e">
        <f t="shared" si="19"/>
        <v>#DIV/0!</v>
      </c>
      <c r="E143" t="e">
        <f t="shared" si="20"/>
        <v>#DIV/0!</v>
      </c>
      <c r="F143" s="2" t="e">
        <f t="shared" si="21"/>
        <v>#DIV/0!</v>
      </c>
      <c r="G143" s="2" t="e">
        <f t="shared" si="22"/>
        <v>#DIV/0!</v>
      </c>
      <c r="H143" t="e">
        <f t="shared" si="23"/>
        <v>#DIV/0!</v>
      </c>
    </row>
    <row r="144" spans="1:8" x14ac:dyDescent="0.3">
      <c r="A144">
        <f t="shared" si="16"/>
        <v>34.25</v>
      </c>
      <c r="B144" t="e">
        <f t="shared" si="17"/>
        <v>#DIV/0!</v>
      </c>
      <c r="C144">
        <f t="shared" si="18"/>
        <v>-36.000000000000007</v>
      </c>
      <c r="D144" s="2" t="e">
        <f t="shared" si="19"/>
        <v>#DIV/0!</v>
      </c>
      <c r="E144" t="e">
        <f t="shared" si="20"/>
        <v>#DIV/0!</v>
      </c>
      <c r="F144" s="2" t="e">
        <f t="shared" si="21"/>
        <v>#DIV/0!</v>
      </c>
      <c r="G144" s="2" t="e">
        <f t="shared" si="22"/>
        <v>#DIV/0!</v>
      </c>
      <c r="H144" t="e">
        <f t="shared" si="23"/>
        <v>#DIV/0!</v>
      </c>
    </row>
    <row r="145" spans="1:8" x14ac:dyDescent="0.3">
      <c r="A145">
        <f t="shared" si="16"/>
        <v>34.5</v>
      </c>
      <c r="B145" t="e">
        <f t="shared" si="17"/>
        <v>#DIV/0!</v>
      </c>
      <c r="C145">
        <f t="shared" si="18"/>
        <v>-37.000000000000007</v>
      </c>
      <c r="D145" s="2" t="e">
        <f t="shared" si="19"/>
        <v>#DIV/0!</v>
      </c>
      <c r="E145" t="e">
        <f t="shared" si="20"/>
        <v>#DIV/0!</v>
      </c>
      <c r="F145" s="2" t="e">
        <f t="shared" si="21"/>
        <v>#DIV/0!</v>
      </c>
      <c r="G145" s="2" t="e">
        <f t="shared" si="22"/>
        <v>#DIV/0!</v>
      </c>
      <c r="H145" t="e">
        <f t="shared" si="23"/>
        <v>#DIV/0!</v>
      </c>
    </row>
    <row r="146" spans="1:8" x14ac:dyDescent="0.3">
      <c r="A146">
        <f t="shared" si="16"/>
        <v>34.75</v>
      </c>
      <c r="B146" t="e">
        <f t="shared" si="17"/>
        <v>#DIV/0!</v>
      </c>
      <c r="C146">
        <f t="shared" si="18"/>
        <v>-38.000000000000007</v>
      </c>
      <c r="D146" s="2" t="e">
        <f t="shared" si="19"/>
        <v>#DIV/0!</v>
      </c>
      <c r="E146" t="e">
        <f t="shared" si="20"/>
        <v>#DIV/0!</v>
      </c>
      <c r="F146" s="2" t="e">
        <f t="shared" si="21"/>
        <v>#DIV/0!</v>
      </c>
      <c r="G146" s="2" t="e">
        <f t="shared" si="22"/>
        <v>#DIV/0!</v>
      </c>
      <c r="H146" t="e">
        <f t="shared" si="23"/>
        <v>#DIV/0!</v>
      </c>
    </row>
    <row r="147" spans="1:8" x14ac:dyDescent="0.3">
      <c r="A147">
        <f t="shared" si="16"/>
        <v>35</v>
      </c>
      <c r="B147" t="e">
        <f t="shared" si="17"/>
        <v>#DIV/0!</v>
      </c>
      <c r="C147">
        <f t="shared" si="18"/>
        <v>-39.000000000000007</v>
      </c>
      <c r="D147" s="2" t="e">
        <f t="shared" si="19"/>
        <v>#DIV/0!</v>
      </c>
      <c r="E147" t="e">
        <f t="shared" si="20"/>
        <v>#DIV/0!</v>
      </c>
      <c r="F147" s="2" t="e">
        <f t="shared" si="21"/>
        <v>#DIV/0!</v>
      </c>
      <c r="G147" s="2" t="e">
        <f t="shared" si="22"/>
        <v>#DIV/0!</v>
      </c>
      <c r="H147" t="e">
        <f t="shared" si="23"/>
        <v>#DIV/0!</v>
      </c>
    </row>
    <row r="148" spans="1:8" x14ac:dyDescent="0.3">
      <c r="A148">
        <f t="shared" si="16"/>
        <v>35.25</v>
      </c>
      <c r="B148" t="e">
        <f t="shared" si="17"/>
        <v>#DIV/0!</v>
      </c>
      <c r="C148">
        <f t="shared" si="18"/>
        <v>-40.000000000000007</v>
      </c>
      <c r="D148" s="2" t="e">
        <f t="shared" si="19"/>
        <v>#DIV/0!</v>
      </c>
      <c r="E148" t="e">
        <f t="shared" si="20"/>
        <v>#DIV/0!</v>
      </c>
      <c r="F148" s="2" t="e">
        <f t="shared" si="21"/>
        <v>#DIV/0!</v>
      </c>
      <c r="G148" s="2" t="e">
        <f t="shared" si="22"/>
        <v>#DIV/0!</v>
      </c>
      <c r="H148" t="e">
        <f t="shared" si="23"/>
        <v>#DIV/0!</v>
      </c>
    </row>
    <row r="149" spans="1:8" x14ac:dyDescent="0.3">
      <c r="A149">
        <f t="shared" si="16"/>
        <v>35.5</v>
      </c>
      <c r="B149" t="e">
        <f t="shared" si="17"/>
        <v>#DIV/0!</v>
      </c>
      <c r="C149">
        <f t="shared" si="18"/>
        <v>-41.000000000000007</v>
      </c>
      <c r="D149" s="2" t="e">
        <f t="shared" si="19"/>
        <v>#DIV/0!</v>
      </c>
      <c r="E149" t="e">
        <f t="shared" si="20"/>
        <v>#DIV/0!</v>
      </c>
      <c r="F149" s="2" t="e">
        <f t="shared" si="21"/>
        <v>#DIV/0!</v>
      </c>
      <c r="G149" s="2" t="e">
        <f t="shared" si="22"/>
        <v>#DIV/0!</v>
      </c>
      <c r="H149" t="e">
        <f t="shared" si="23"/>
        <v>#DIV/0!</v>
      </c>
    </row>
    <row r="150" spans="1:8" x14ac:dyDescent="0.3">
      <c r="A150">
        <f t="shared" si="16"/>
        <v>35.75</v>
      </c>
      <c r="B150" t="e">
        <f t="shared" si="17"/>
        <v>#DIV/0!</v>
      </c>
      <c r="C150">
        <f t="shared" si="18"/>
        <v>-42.000000000000007</v>
      </c>
      <c r="D150" s="2" t="e">
        <f t="shared" si="19"/>
        <v>#DIV/0!</v>
      </c>
      <c r="E150" t="e">
        <f t="shared" si="20"/>
        <v>#DIV/0!</v>
      </c>
      <c r="F150" s="2" t="e">
        <f t="shared" si="21"/>
        <v>#DIV/0!</v>
      </c>
      <c r="G150" s="2" t="e">
        <f t="shared" si="22"/>
        <v>#DIV/0!</v>
      </c>
      <c r="H150" t="e">
        <f t="shared" si="23"/>
        <v>#DIV/0!</v>
      </c>
    </row>
    <row r="151" spans="1:8" x14ac:dyDescent="0.3">
      <c r="A151">
        <f t="shared" si="16"/>
        <v>36</v>
      </c>
      <c r="B151" t="e">
        <f t="shared" si="17"/>
        <v>#DIV/0!</v>
      </c>
      <c r="C151">
        <f t="shared" si="18"/>
        <v>-43.000000000000007</v>
      </c>
      <c r="D151" s="2" t="e">
        <f t="shared" si="19"/>
        <v>#DIV/0!</v>
      </c>
      <c r="E151" t="e">
        <f t="shared" si="20"/>
        <v>#DIV/0!</v>
      </c>
      <c r="F151" s="2" t="e">
        <f t="shared" si="21"/>
        <v>#DIV/0!</v>
      </c>
      <c r="G151" s="2" t="e">
        <f t="shared" si="22"/>
        <v>#DIV/0!</v>
      </c>
      <c r="H151" t="e">
        <f t="shared" si="23"/>
        <v>#DIV/0!</v>
      </c>
    </row>
    <row r="152" spans="1:8" x14ac:dyDescent="0.3">
      <c r="A152">
        <f t="shared" si="16"/>
        <v>36.25</v>
      </c>
      <c r="B152" t="e">
        <f t="shared" si="17"/>
        <v>#DIV/0!</v>
      </c>
      <c r="C152">
        <f t="shared" si="18"/>
        <v>-44.000000000000007</v>
      </c>
      <c r="D152" s="2" t="e">
        <f t="shared" si="19"/>
        <v>#DIV/0!</v>
      </c>
      <c r="E152" t="e">
        <f t="shared" si="20"/>
        <v>#DIV/0!</v>
      </c>
      <c r="F152" s="2" t="e">
        <f t="shared" si="21"/>
        <v>#DIV/0!</v>
      </c>
      <c r="G152" s="2" t="e">
        <f t="shared" si="22"/>
        <v>#DIV/0!</v>
      </c>
      <c r="H152" t="e">
        <f t="shared" si="23"/>
        <v>#DIV/0!</v>
      </c>
    </row>
    <row r="153" spans="1:8" x14ac:dyDescent="0.3">
      <c r="A153">
        <f t="shared" si="16"/>
        <v>36.5</v>
      </c>
      <c r="B153" t="e">
        <f t="shared" si="17"/>
        <v>#DIV/0!</v>
      </c>
      <c r="C153">
        <f t="shared" si="18"/>
        <v>-45.000000000000007</v>
      </c>
      <c r="D153" s="2" t="e">
        <f t="shared" si="19"/>
        <v>#DIV/0!</v>
      </c>
      <c r="E153" t="e">
        <f t="shared" si="20"/>
        <v>#DIV/0!</v>
      </c>
      <c r="F153" s="2" t="e">
        <f t="shared" si="21"/>
        <v>#DIV/0!</v>
      </c>
      <c r="G153" s="2" t="e">
        <f t="shared" si="22"/>
        <v>#DIV/0!</v>
      </c>
      <c r="H153" t="e">
        <f t="shared" si="23"/>
        <v>#DIV/0!</v>
      </c>
    </row>
    <row r="154" spans="1:8" x14ac:dyDescent="0.3">
      <c r="A154">
        <f t="shared" si="16"/>
        <v>36.75</v>
      </c>
      <c r="B154" t="e">
        <f t="shared" si="17"/>
        <v>#DIV/0!</v>
      </c>
      <c r="C154">
        <f t="shared" si="18"/>
        <v>-46.000000000000007</v>
      </c>
      <c r="D154" s="2" t="e">
        <f t="shared" si="19"/>
        <v>#DIV/0!</v>
      </c>
      <c r="E154" t="e">
        <f t="shared" si="20"/>
        <v>#DIV/0!</v>
      </c>
      <c r="F154" s="2" t="e">
        <f t="shared" si="21"/>
        <v>#DIV/0!</v>
      </c>
      <c r="G154" s="2" t="e">
        <f t="shared" si="22"/>
        <v>#DIV/0!</v>
      </c>
      <c r="H154" t="e">
        <f t="shared" si="23"/>
        <v>#DIV/0!</v>
      </c>
    </row>
    <row r="155" spans="1:8" x14ac:dyDescent="0.3">
      <c r="A155">
        <f t="shared" si="16"/>
        <v>37</v>
      </c>
      <c r="B155" t="e">
        <f t="shared" si="17"/>
        <v>#DIV/0!</v>
      </c>
      <c r="C155">
        <f t="shared" si="18"/>
        <v>-47.000000000000007</v>
      </c>
      <c r="D155" s="2" t="e">
        <f t="shared" si="19"/>
        <v>#DIV/0!</v>
      </c>
      <c r="E155" t="e">
        <f t="shared" si="20"/>
        <v>#DIV/0!</v>
      </c>
      <c r="F155" s="2" t="e">
        <f t="shared" si="21"/>
        <v>#DIV/0!</v>
      </c>
      <c r="G155" s="2" t="e">
        <f t="shared" si="22"/>
        <v>#DIV/0!</v>
      </c>
      <c r="H155" t="e">
        <f t="shared" si="23"/>
        <v>#DIV/0!</v>
      </c>
    </row>
    <row r="156" spans="1:8" x14ac:dyDescent="0.3">
      <c r="A156">
        <f t="shared" si="16"/>
        <v>37.25</v>
      </c>
      <c r="B156" t="e">
        <f t="shared" si="17"/>
        <v>#DIV/0!</v>
      </c>
      <c r="C156">
        <f t="shared" si="18"/>
        <v>-48.000000000000007</v>
      </c>
      <c r="D156" s="2" t="e">
        <f t="shared" si="19"/>
        <v>#DIV/0!</v>
      </c>
      <c r="E156" t="e">
        <f t="shared" si="20"/>
        <v>#DIV/0!</v>
      </c>
      <c r="F156" s="2" t="e">
        <f t="shared" si="21"/>
        <v>#DIV/0!</v>
      </c>
      <c r="G156" s="2" t="e">
        <f t="shared" si="22"/>
        <v>#DIV/0!</v>
      </c>
      <c r="H156" t="e">
        <f t="shared" si="23"/>
        <v>#DIV/0!</v>
      </c>
    </row>
    <row r="157" spans="1:8" x14ac:dyDescent="0.3">
      <c r="A157">
        <f t="shared" si="16"/>
        <v>37.5</v>
      </c>
      <c r="B157" t="e">
        <f t="shared" si="17"/>
        <v>#DIV/0!</v>
      </c>
      <c r="C157">
        <f t="shared" si="18"/>
        <v>-49.000000000000007</v>
      </c>
      <c r="D157" s="2" t="e">
        <f t="shared" si="19"/>
        <v>#DIV/0!</v>
      </c>
      <c r="E157" t="e">
        <f t="shared" si="20"/>
        <v>#DIV/0!</v>
      </c>
      <c r="F157" s="2" t="e">
        <f t="shared" si="21"/>
        <v>#DIV/0!</v>
      </c>
      <c r="G157" s="2" t="e">
        <f t="shared" si="22"/>
        <v>#DIV/0!</v>
      </c>
      <c r="H157" t="e">
        <f t="shared" si="23"/>
        <v>#DIV/0!</v>
      </c>
    </row>
    <row r="158" spans="1:8" x14ac:dyDescent="0.3">
      <c r="A158">
        <f t="shared" si="16"/>
        <v>37.75</v>
      </c>
      <c r="B158" t="e">
        <f t="shared" si="17"/>
        <v>#DIV/0!</v>
      </c>
      <c r="C158">
        <f t="shared" si="18"/>
        <v>-50.000000000000007</v>
      </c>
      <c r="D158" s="2" t="e">
        <f t="shared" si="19"/>
        <v>#DIV/0!</v>
      </c>
      <c r="E158" t="e">
        <f t="shared" si="20"/>
        <v>#DIV/0!</v>
      </c>
      <c r="F158" s="2" t="e">
        <f t="shared" si="21"/>
        <v>#DIV/0!</v>
      </c>
      <c r="G158" s="2" t="e">
        <f t="shared" si="22"/>
        <v>#DIV/0!</v>
      </c>
      <c r="H158" t="e">
        <f t="shared" si="23"/>
        <v>#DIV/0!</v>
      </c>
    </row>
    <row r="159" spans="1:8" x14ac:dyDescent="0.3">
      <c r="A159">
        <f t="shared" si="16"/>
        <v>38</v>
      </c>
      <c r="B159" t="e">
        <f t="shared" si="17"/>
        <v>#DIV/0!</v>
      </c>
      <c r="C159">
        <f t="shared" si="18"/>
        <v>-51.000000000000007</v>
      </c>
      <c r="D159" s="2" t="e">
        <f t="shared" si="19"/>
        <v>#DIV/0!</v>
      </c>
      <c r="E159" t="e">
        <f t="shared" si="20"/>
        <v>#DIV/0!</v>
      </c>
      <c r="F159" s="2" t="e">
        <f t="shared" si="21"/>
        <v>#DIV/0!</v>
      </c>
      <c r="G159" s="2" t="e">
        <f t="shared" si="22"/>
        <v>#DIV/0!</v>
      </c>
      <c r="H159" t="e">
        <f t="shared" si="23"/>
        <v>#DIV/0!</v>
      </c>
    </row>
    <row r="160" spans="1:8" x14ac:dyDescent="0.3">
      <c r="A160">
        <f t="shared" si="16"/>
        <v>38.25</v>
      </c>
      <c r="B160" t="e">
        <f t="shared" si="17"/>
        <v>#DIV/0!</v>
      </c>
      <c r="C160">
        <f t="shared" si="18"/>
        <v>-52.000000000000007</v>
      </c>
      <c r="D160" s="2" t="e">
        <f t="shared" si="19"/>
        <v>#DIV/0!</v>
      </c>
      <c r="E160" t="e">
        <f t="shared" si="20"/>
        <v>#DIV/0!</v>
      </c>
      <c r="F160" s="2" t="e">
        <f t="shared" si="21"/>
        <v>#DIV/0!</v>
      </c>
      <c r="G160" s="2" t="e">
        <f t="shared" si="22"/>
        <v>#DIV/0!</v>
      </c>
      <c r="H160" t="e">
        <f t="shared" si="23"/>
        <v>#DIV/0!</v>
      </c>
    </row>
    <row r="161" spans="1:8" x14ac:dyDescent="0.3">
      <c r="A161">
        <f t="shared" si="16"/>
        <v>38.5</v>
      </c>
      <c r="B161" t="e">
        <f t="shared" si="17"/>
        <v>#DIV/0!</v>
      </c>
      <c r="C161">
        <f t="shared" si="18"/>
        <v>-53.000000000000007</v>
      </c>
      <c r="D161" s="2" t="e">
        <f t="shared" si="19"/>
        <v>#DIV/0!</v>
      </c>
      <c r="E161" t="e">
        <f t="shared" si="20"/>
        <v>#DIV/0!</v>
      </c>
      <c r="F161" s="2" t="e">
        <f t="shared" si="21"/>
        <v>#DIV/0!</v>
      </c>
      <c r="G161" s="2" t="e">
        <f t="shared" si="22"/>
        <v>#DIV/0!</v>
      </c>
      <c r="H161" t="e">
        <f t="shared" si="23"/>
        <v>#DIV/0!</v>
      </c>
    </row>
    <row r="162" spans="1:8" x14ac:dyDescent="0.3">
      <c r="A162">
        <f t="shared" si="16"/>
        <v>38.75</v>
      </c>
      <c r="B162" t="e">
        <f t="shared" si="17"/>
        <v>#DIV/0!</v>
      </c>
      <c r="C162">
        <f t="shared" si="18"/>
        <v>-54.000000000000007</v>
      </c>
      <c r="D162" s="2" t="e">
        <f t="shared" si="19"/>
        <v>#DIV/0!</v>
      </c>
      <c r="E162" t="e">
        <f t="shared" si="20"/>
        <v>#DIV/0!</v>
      </c>
      <c r="F162" s="2" t="e">
        <f t="shared" si="21"/>
        <v>#DIV/0!</v>
      </c>
      <c r="G162" s="2" t="e">
        <f t="shared" si="22"/>
        <v>#DIV/0!</v>
      </c>
      <c r="H162" t="e">
        <f t="shared" si="23"/>
        <v>#DIV/0!</v>
      </c>
    </row>
    <row r="163" spans="1:8" x14ac:dyDescent="0.3">
      <c r="A163">
        <f t="shared" si="16"/>
        <v>39</v>
      </c>
      <c r="B163" t="e">
        <f t="shared" si="17"/>
        <v>#DIV/0!</v>
      </c>
      <c r="C163">
        <f t="shared" si="18"/>
        <v>-55.000000000000007</v>
      </c>
      <c r="D163" s="2" t="e">
        <f t="shared" si="19"/>
        <v>#DIV/0!</v>
      </c>
      <c r="E163" t="e">
        <f t="shared" si="20"/>
        <v>#DIV/0!</v>
      </c>
      <c r="F163" s="2" t="e">
        <f t="shared" si="21"/>
        <v>#DIV/0!</v>
      </c>
      <c r="G163" s="2" t="e">
        <f t="shared" si="22"/>
        <v>#DIV/0!</v>
      </c>
      <c r="H163" t="e">
        <f t="shared" si="23"/>
        <v>#DIV/0!</v>
      </c>
    </row>
    <row r="164" spans="1:8" x14ac:dyDescent="0.3">
      <c r="A164">
        <f t="shared" si="16"/>
        <v>39.25</v>
      </c>
      <c r="B164" t="e">
        <f t="shared" si="17"/>
        <v>#DIV/0!</v>
      </c>
      <c r="C164">
        <f t="shared" si="18"/>
        <v>-56.000000000000007</v>
      </c>
      <c r="D164" s="2" t="e">
        <f t="shared" si="19"/>
        <v>#DIV/0!</v>
      </c>
      <c r="E164" t="e">
        <f t="shared" si="20"/>
        <v>#DIV/0!</v>
      </c>
      <c r="F164" s="2" t="e">
        <f t="shared" si="21"/>
        <v>#DIV/0!</v>
      </c>
      <c r="G164" s="2" t="e">
        <f t="shared" si="22"/>
        <v>#DIV/0!</v>
      </c>
      <c r="H164" t="e">
        <f t="shared" si="23"/>
        <v>#DIV/0!</v>
      </c>
    </row>
    <row r="165" spans="1:8" x14ac:dyDescent="0.3">
      <c r="A165">
        <f t="shared" si="16"/>
        <v>39.5</v>
      </c>
      <c r="B165" t="e">
        <f t="shared" si="17"/>
        <v>#DIV/0!</v>
      </c>
      <c r="C165">
        <f t="shared" si="18"/>
        <v>-57.000000000000007</v>
      </c>
      <c r="D165" s="2" t="e">
        <f t="shared" si="19"/>
        <v>#DIV/0!</v>
      </c>
      <c r="E165" t="e">
        <f t="shared" si="20"/>
        <v>#DIV/0!</v>
      </c>
      <c r="F165" s="2" t="e">
        <f t="shared" si="21"/>
        <v>#DIV/0!</v>
      </c>
      <c r="G165" s="2" t="e">
        <f t="shared" si="22"/>
        <v>#DIV/0!</v>
      </c>
      <c r="H165" t="e">
        <f t="shared" si="23"/>
        <v>#DIV/0!</v>
      </c>
    </row>
    <row r="166" spans="1:8" x14ac:dyDescent="0.3">
      <c r="A166">
        <f t="shared" si="16"/>
        <v>39.75</v>
      </c>
      <c r="B166" t="e">
        <f t="shared" si="17"/>
        <v>#DIV/0!</v>
      </c>
      <c r="C166">
        <f t="shared" si="18"/>
        <v>-58.000000000000007</v>
      </c>
      <c r="D166" s="2" t="e">
        <f t="shared" si="19"/>
        <v>#DIV/0!</v>
      </c>
      <c r="E166" t="e">
        <f t="shared" si="20"/>
        <v>#DIV/0!</v>
      </c>
      <c r="F166" s="2" t="e">
        <f t="shared" si="21"/>
        <v>#DIV/0!</v>
      </c>
      <c r="G166" s="2" t="e">
        <f t="shared" si="22"/>
        <v>#DIV/0!</v>
      </c>
      <c r="H166" t="e">
        <f t="shared" si="23"/>
        <v>#DIV/0!</v>
      </c>
    </row>
    <row r="167" spans="1:8" x14ac:dyDescent="0.3">
      <c r="A167">
        <f t="shared" si="16"/>
        <v>40</v>
      </c>
      <c r="B167" t="e">
        <f t="shared" si="17"/>
        <v>#DIV/0!</v>
      </c>
      <c r="C167">
        <f t="shared" si="18"/>
        <v>-59.000000000000007</v>
      </c>
      <c r="D167" s="2" t="e">
        <f t="shared" si="19"/>
        <v>#DIV/0!</v>
      </c>
      <c r="E167" t="e">
        <f t="shared" si="20"/>
        <v>#DIV/0!</v>
      </c>
      <c r="F167" s="2" t="e">
        <f t="shared" si="21"/>
        <v>#DIV/0!</v>
      </c>
      <c r="G167" s="2" t="e">
        <f t="shared" si="22"/>
        <v>#DIV/0!</v>
      </c>
      <c r="H167" t="e">
        <f t="shared" si="23"/>
        <v>#DIV/0!</v>
      </c>
    </row>
    <row r="168" spans="1:8" x14ac:dyDescent="0.3">
      <c r="A168">
        <f t="shared" si="16"/>
        <v>40.25</v>
      </c>
      <c r="B168" t="e">
        <f t="shared" si="17"/>
        <v>#DIV/0!</v>
      </c>
      <c r="C168">
        <f t="shared" si="18"/>
        <v>-60.000000000000007</v>
      </c>
      <c r="D168" s="2" t="e">
        <f t="shared" si="19"/>
        <v>#DIV/0!</v>
      </c>
      <c r="E168" t="e">
        <f t="shared" si="20"/>
        <v>#DIV/0!</v>
      </c>
      <c r="F168" s="2" t="e">
        <f t="shared" si="21"/>
        <v>#DIV/0!</v>
      </c>
      <c r="G168" s="2" t="e">
        <f t="shared" si="22"/>
        <v>#DIV/0!</v>
      </c>
      <c r="H168" t="e">
        <f t="shared" si="23"/>
        <v>#DIV/0!</v>
      </c>
    </row>
    <row r="169" spans="1:8" x14ac:dyDescent="0.3">
      <c r="A169">
        <f t="shared" si="16"/>
        <v>40.5</v>
      </c>
      <c r="B169" t="e">
        <f t="shared" si="17"/>
        <v>#DIV/0!</v>
      </c>
      <c r="C169">
        <f t="shared" si="18"/>
        <v>-61.000000000000007</v>
      </c>
      <c r="D169" s="2" t="e">
        <f t="shared" si="19"/>
        <v>#DIV/0!</v>
      </c>
      <c r="E169" t="e">
        <f t="shared" si="20"/>
        <v>#DIV/0!</v>
      </c>
      <c r="F169" s="2" t="e">
        <f t="shared" si="21"/>
        <v>#DIV/0!</v>
      </c>
      <c r="G169" s="2" t="e">
        <f t="shared" si="22"/>
        <v>#DIV/0!</v>
      </c>
      <c r="H169" t="e">
        <f t="shared" si="23"/>
        <v>#DIV/0!</v>
      </c>
    </row>
    <row r="170" spans="1:8" x14ac:dyDescent="0.3">
      <c r="A170">
        <f t="shared" si="16"/>
        <v>40.75</v>
      </c>
      <c r="B170" t="e">
        <f t="shared" si="17"/>
        <v>#DIV/0!</v>
      </c>
      <c r="C170">
        <f t="shared" si="18"/>
        <v>-62.000000000000007</v>
      </c>
      <c r="D170" s="2" t="e">
        <f t="shared" si="19"/>
        <v>#DIV/0!</v>
      </c>
      <c r="E170" t="e">
        <f t="shared" si="20"/>
        <v>#DIV/0!</v>
      </c>
      <c r="F170" s="2" t="e">
        <f t="shared" si="21"/>
        <v>#DIV/0!</v>
      </c>
      <c r="G170" s="2" t="e">
        <f t="shared" si="22"/>
        <v>#DIV/0!</v>
      </c>
      <c r="H170" t="e">
        <f t="shared" si="23"/>
        <v>#DIV/0!</v>
      </c>
    </row>
    <row r="171" spans="1:8" x14ac:dyDescent="0.3">
      <c r="A171">
        <f t="shared" si="16"/>
        <v>41</v>
      </c>
      <c r="B171" t="e">
        <f t="shared" si="17"/>
        <v>#DIV/0!</v>
      </c>
      <c r="C171">
        <f t="shared" si="18"/>
        <v>-63.000000000000007</v>
      </c>
      <c r="D171" s="2" t="e">
        <f t="shared" si="19"/>
        <v>#DIV/0!</v>
      </c>
      <c r="E171" t="e">
        <f t="shared" si="20"/>
        <v>#DIV/0!</v>
      </c>
      <c r="F171" s="2" t="e">
        <f t="shared" si="21"/>
        <v>#DIV/0!</v>
      </c>
      <c r="G171" s="2" t="e">
        <f t="shared" si="22"/>
        <v>#DIV/0!</v>
      </c>
      <c r="H171" t="e">
        <f t="shared" si="23"/>
        <v>#DIV/0!</v>
      </c>
    </row>
    <row r="172" spans="1:8" x14ac:dyDescent="0.3">
      <c r="A172">
        <f t="shared" si="16"/>
        <v>41.25</v>
      </c>
      <c r="B172" t="e">
        <f t="shared" si="17"/>
        <v>#DIV/0!</v>
      </c>
      <c r="C172">
        <f t="shared" si="18"/>
        <v>-64.000000000000014</v>
      </c>
      <c r="D172" s="2" t="e">
        <f t="shared" si="19"/>
        <v>#DIV/0!</v>
      </c>
      <c r="E172" t="e">
        <f t="shared" si="20"/>
        <v>#DIV/0!</v>
      </c>
      <c r="F172" s="2" t="e">
        <f t="shared" si="21"/>
        <v>#DIV/0!</v>
      </c>
      <c r="G172" s="2" t="e">
        <f t="shared" si="22"/>
        <v>#DIV/0!</v>
      </c>
      <c r="H172" t="e">
        <f t="shared" si="23"/>
        <v>#DIV/0!</v>
      </c>
    </row>
    <row r="173" spans="1:8" x14ac:dyDescent="0.3">
      <c r="A173">
        <f t="shared" si="16"/>
        <v>41.5</v>
      </c>
      <c r="B173" t="e">
        <f t="shared" si="17"/>
        <v>#DIV/0!</v>
      </c>
      <c r="C173">
        <f t="shared" si="18"/>
        <v>-65.000000000000014</v>
      </c>
      <c r="D173" s="2" t="e">
        <f t="shared" si="19"/>
        <v>#DIV/0!</v>
      </c>
      <c r="E173" t="e">
        <f t="shared" si="20"/>
        <v>#DIV/0!</v>
      </c>
      <c r="F173" s="2" t="e">
        <f t="shared" si="21"/>
        <v>#DIV/0!</v>
      </c>
      <c r="G173" s="2" t="e">
        <f t="shared" si="22"/>
        <v>#DIV/0!</v>
      </c>
      <c r="H173" t="e">
        <f t="shared" si="23"/>
        <v>#DIV/0!</v>
      </c>
    </row>
    <row r="174" spans="1:8" x14ac:dyDescent="0.3">
      <c r="A174">
        <f t="shared" si="16"/>
        <v>41.75</v>
      </c>
      <c r="B174" t="e">
        <f t="shared" si="17"/>
        <v>#DIV/0!</v>
      </c>
      <c r="C174">
        <f t="shared" si="18"/>
        <v>-66.000000000000014</v>
      </c>
      <c r="D174" s="2" t="e">
        <f t="shared" si="19"/>
        <v>#DIV/0!</v>
      </c>
      <c r="E174" t="e">
        <f t="shared" si="20"/>
        <v>#DIV/0!</v>
      </c>
      <c r="F174" s="2" t="e">
        <f t="shared" si="21"/>
        <v>#DIV/0!</v>
      </c>
      <c r="G174" s="2" t="e">
        <f t="shared" si="22"/>
        <v>#DIV/0!</v>
      </c>
      <c r="H174" t="e">
        <f t="shared" si="23"/>
        <v>#DIV/0!</v>
      </c>
    </row>
    <row r="175" spans="1:8" x14ac:dyDescent="0.3">
      <c r="A175">
        <f t="shared" si="16"/>
        <v>42</v>
      </c>
      <c r="B175" t="e">
        <f t="shared" si="17"/>
        <v>#DIV/0!</v>
      </c>
      <c r="C175">
        <f t="shared" si="18"/>
        <v>-67.000000000000014</v>
      </c>
      <c r="D175" s="2" t="e">
        <f t="shared" si="19"/>
        <v>#DIV/0!</v>
      </c>
      <c r="E175" t="e">
        <f t="shared" si="20"/>
        <v>#DIV/0!</v>
      </c>
      <c r="F175" s="2" t="e">
        <f t="shared" si="21"/>
        <v>#DIV/0!</v>
      </c>
      <c r="G175" s="2" t="e">
        <f t="shared" si="22"/>
        <v>#DIV/0!</v>
      </c>
      <c r="H175" t="e">
        <f t="shared" si="23"/>
        <v>#DIV/0!</v>
      </c>
    </row>
    <row r="176" spans="1:8" x14ac:dyDescent="0.3">
      <c r="A176">
        <f t="shared" si="16"/>
        <v>42.25</v>
      </c>
      <c r="B176" t="e">
        <f t="shared" si="17"/>
        <v>#DIV/0!</v>
      </c>
      <c r="C176">
        <f t="shared" si="18"/>
        <v>-68.000000000000014</v>
      </c>
      <c r="D176" s="2" t="e">
        <f t="shared" si="19"/>
        <v>#DIV/0!</v>
      </c>
      <c r="E176" t="e">
        <f t="shared" si="20"/>
        <v>#DIV/0!</v>
      </c>
      <c r="F176" s="2" t="e">
        <f t="shared" si="21"/>
        <v>#DIV/0!</v>
      </c>
      <c r="G176" s="2" t="e">
        <f t="shared" si="22"/>
        <v>#DIV/0!</v>
      </c>
      <c r="H176" t="e">
        <f t="shared" si="23"/>
        <v>#DIV/0!</v>
      </c>
    </row>
    <row r="177" spans="1:8" x14ac:dyDescent="0.3">
      <c r="A177">
        <f t="shared" si="16"/>
        <v>42.5</v>
      </c>
      <c r="B177" t="e">
        <f t="shared" si="17"/>
        <v>#DIV/0!</v>
      </c>
      <c r="C177">
        <f t="shared" si="18"/>
        <v>-69.000000000000014</v>
      </c>
      <c r="D177" s="2" t="e">
        <f t="shared" si="19"/>
        <v>#DIV/0!</v>
      </c>
      <c r="E177" t="e">
        <f t="shared" si="20"/>
        <v>#DIV/0!</v>
      </c>
      <c r="F177" s="2" t="e">
        <f t="shared" si="21"/>
        <v>#DIV/0!</v>
      </c>
      <c r="G177" s="2" t="e">
        <f t="shared" si="22"/>
        <v>#DIV/0!</v>
      </c>
      <c r="H177" t="e">
        <f t="shared" si="23"/>
        <v>#DIV/0!</v>
      </c>
    </row>
    <row r="178" spans="1:8" x14ac:dyDescent="0.3">
      <c r="A178">
        <f t="shared" si="16"/>
        <v>42.75</v>
      </c>
      <c r="B178" t="e">
        <f t="shared" si="17"/>
        <v>#DIV/0!</v>
      </c>
      <c r="C178">
        <f t="shared" si="18"/>
        <v>-70.000000000000014</v>
      </c>
      <c r="D178" s="2" t="e">
        <f t="shared" si="19"/>
        <v>#DIV/0!</v>
      </c>
      <c r="E178" t="e">
        <f t="shared" si="20"/>
        <v>#DIV/0!</v>
      </c>
      <c r="F178" s="2" t="e">
        <f t="shared" si="21"/>
        <v>#DIV/0!</v>
      </c>
      <c r="G178" s="2" t="e">
        <f t="shared" si="22"/>
        <v>#DIV/0!</v>
      </c>
      <c r="H178" t="e">
        <f t="shared" si="23"/>
        <v>#DIV/0!</v>
      </c>
    </row>
    <row r="179" spans="1:8" x14ac:dyDescent="0.3">
      <c r="A179">
        <f t="shared" si="16"/>
        <v>43</v>
      </c>
      <c r="B179" t="e">
        <f t="shared" si="17"/>
        <v>#DIV/0!</v>
      </c>
      <c r="C179">
        <f t="shared" si="18"/>
        <v>-71.000000000000014</v>
      </c>
      <c r="D179" s="2" t="e">
        <f t="shared" si="19"/>
        <v>#DIV/0!</v>
      </c>
      <c r="E179" t="e">
        <f t="shared" si="20"/>
        <v>#DIV/0!</v>
      </c>
      <c r="F179" s="2" t="e">
        <f t="shared" si="21"/>
        <v>#DIV/0!</v>
      </c>
      <c r="G179" s="2" t="e">
        <f t="shared" si="22"/>
        <v>#DIV/0!</v>
      </c>
      <c r="H179" t="e">
        <f t="shared" si="23"/>
        <v>#DIV/0!</v>
      </c>
    </row>
    <row r="180" spans="1:8" x14ac:dyDescent="0.3">
      <c r="A180">
        <f t="shared" si="16"/>
        <v>43.25</v>
      </c>
      <c r="B180" t="e">
        <f t="shared" si="17"/>
        <v>#DIV/0!</v>
      </c>
      <c r="C180">
        <f t="shared" si="18"/>
        <v>-72.000000000000014</v>
      </c>
      <c r="D180" s="2" t="e">
        <f t="shared" si="19"/>
        <v>#DIV/0!</v>
      </c>
      <c r="E180" t="e">
        <f t="shared" si="20"/>
        <v>#DIV/0!</v>
      </c>
      <c r="F180" s="2" t="e">
        <f t="shared" si="21"/>
        <v>#DIV/0!</v>
      </c>
      <c r="G180" s="2" t="e">
        <f t="shared" si="22"/>
        <v>#DIV/0!</v>
      </c>
      <c r="H180" t="e">
        <f t="shared" si="23"/>
        <v>#DIV/0!</v>
      </c>
    </row>
    <row r="181" spans="1:8" x14ac:dyDescent="0.3">
      <c r="A181">
        <f t="shared" ref="A181:A210" si="24">$A$6+A180</f>
        <v>43.5</v>
      </c>
      <c r="B181" t="e">
        <f t="shared" ref="B181:B210" si="25">G180</f>
        <v>#DIV/0!</v>
      </c>
      <c r="C181">
        <f t="shared" ref="C181:C210" si="26">C180-(A181-A180)*$C$3</f>
        <v>-73.000000000000014</v>
      </c>
      <c r="D181" s="2" t="e">
        <f t="shared" ref="D181:D210" si="27">-0.5*1.204*B181*$E$2^2*PI()/4</f>
        <v>#DIV/0!</v>
      </c>
      <c r="E181" t="e">
        <f t="shared" ref="E181:E210" si="28">D181+$D$6-C181*9.181</f>
        <v>#DIV/0!</v>
      </c>
      <c r="F181" s="2" t="e">
        <f t="shared" ref="F181:F210" si="29">E181/C181</f>
        <v>#DIV/0!</v>
      </c>
      <c r="G181" s="2" t="e">
        <f t="shared" ref="G181:G210" si="30">F181*$A$6+B181</f>
        <v>#DIV/0!</v>
      </c>
      <c r="H181" t="e">
        <f t="shared" ref="H181:H210" si="31">B181*$A$6+H180</f>
        <v>#DIV/0!</v>
      </c>
    </row>
    <row r="182" spans="1:8" x14ac:dyDescent="0.3">
      <c r="A182">
        <f t="shared" si="24"/>
        <v>43.75</v>
      </c>
      <c r="B182" t="e">
        <f t="shared" si="25"/>
        <v>#DIV/0!</v>
      </c>
      <c r="C182">
        <f t="shared" si="26"/>
        <v>-74.000000000000014</v>
      </c>
      <c r="D182" s="2" t="e">
        <f t="shared" si="27"/>
        <v>#DIV/0!</v>
      </c>
      <c r="E182" t="e">
        <f t="shared" si="28"/>
        <v>#DIV/0!</v>
      </c>
      <c r="F182" s="2" t="e">
        <f t="shared" si="29"/>
        <v>#DIV/0!</v>
      </c>
      <c r="G182" s="2" t="e">
        <f t="shared" si="30"/>
        <v>#DIV/0!</v>
      </c>
      <c r="H182" t="e">
        <f t="shared" si="31"/>
        <v>#DIV/0!</v>
      </c>
    </row>
    <row r="183" spans="1:8" x14ac:dyDescent="0.3">
      <c r="A183">
        <f t="shared" si="24"/>
        <v>44</v>
      </c>
      <c r="B183" t="e">
        <f t="shared" si="25"/>
        <v>#DIV/0!</v>
      </c>
      <c r="C183">
        <f t="shared" si="26"/>
        <v>-75.000000000000014</v>
      </c>
      <c r="D183" s="2" t="e">
        <f t="shared" si="27"/>
        <v>#DIV/0!</v>
      </c>
      <c r="E183" t="e">
        <f t="shared" si="28"/>
        <v>#DIV/0!</v>
      </c>
      <c r="F183" s="2" t="e">
        <f t="shared" si="29"/>
        <v>#DIV/0!</v>
      </c>
      <c r="G183" s="2" t="e">
        <f t="shared" si="30"/>
        <v>#DIV/0!</v>
      </c>
      <c r="H183" t="e">
        <f t="shared" si="31"/>
        <v>#DIV/0!</v>
      </c>
    </row>
    <row r="184" spans="1:8" x14ac:dyDescent="0.3">
      <c r="A184">
        <f t="shared" si="24"/>
        <v>44.25</v>
      </c>
      <c r="B184" t="e">
        <f t="shared" si="25"/>
        <v>#DIV/0!</v>
      </c>
      <c r="C184">
        <f t="shared" si="26"/>
        <v>-76.000000000000014</v>
      </c>
      <c r="D184" s="2" t="e">
        <f t="shared" si="27"/>
        <v>#DIV/0!</v>
      </c>
      <c r="E184" t="e">
        <f t="shared" si="28"/>
        <v>#DIV/0!</v>
      </c>
      <c r="F184" s="2" t="e">
        <f t="shared" si="29"/>
        <v>#DIV/0!</v>
      </c>
      <c r="G184" s="2" t="e">
        <f t="shared" si="30"/>
        <v>#DIV/0!</v>
      </c>
      <c r="H184" t="e">
        <f t="shared" si="31"/>
        <v>#DIV/0!</v>
      </c>
    </row>
    <row r="185" spans="1:8" x14ac:dyDescent="0.3">
      <c r="A185">
        <f t="shared" si="24"/>
        <v>44.5</v>
      </c>
      <c r="B185" t="e">
        <f t="shared" si="25"/>
        <v>#DIV/0!</v>
      </c>
      <c r="C185">
        <f t="shared" si="26"/>
        <v>-77.000000000000014</v>
      </c>
      <c r="D185" s="2" t="e">
        <f t="shared" si="27"/>
        <v>#DIV/0!</v>
      </c>
      <c r="E185" t="e">
        <f t="shared" si="28"/>
        <v>#DIV/0!</v>
      </c>
      <c r="F185" s="2" t="e">
        <f t="shared" si="29"/>
        <v>#DIV/0!</v>
      </c>
      <c r="G185" s="2" t="e">
        <f t="shared" si="30"/>
        <v>#DIV/0!</v>
      </c>
      <c r="H185" t="e">
        <f t="shared" si="31"/>
        <v>#DIV/0!</v>
      </c>
    </row>
    <row r="186" spans="1:8" x14ac:dyDescent="0.3">
      <c r="A186">
        <f t="shared" si="24"/>
        <v>44.75</v>
      </c>
      <c r="B186" t="e">
        <f t="shared" si="25"/>
        <v>#DIV/0!</v>
      </c>
      <c r="C186">
        <f t="shared" si="26"/>
        <v>-78.000000000000014</v>
      </c>
      <c r="D186" s="2" t="e">
        <f t="shared" si="27"/>
        <v>#DIV/0!</v>
      </c>
      <c r="E186" t="e">
        <f t="shared" si="28"/>
        <v>#DIV/0!</v>
      </c>
      <c r="F186" s="2" t="e">
        <f t="shared" si="29"/>
        <v>#DIV/0!</v>
      </c>
      <c r="G186" s="2" t="e">
        <f t="shared" si="30"/>
        <v>#DIV/0!</v>
      </c>
      <c r="H186" t="e">
        <f t="shared" si="31"/>
        <v>#DIV/0!</v>
      </c>
    </row>
    <row r="187" spans="1:8" x14ac:dyDescent="0.3">
      <c r="A187">
        <f t="shared" si="24"/>
        <v>45</v>
      </c>
      <c r="B187" t="e">
        <f t="shared" si="25"/>
        <v>#DIV/0!</v>
      </c>
      <c r="C187">
        <f t="shared" si="26"/>
        <v>-79.000000000000014</v>
      </c>
      <c r="D187" s="2" t="e">
        <f t="shared" si="27"/>
        <v>#DIV/0!</v>
      </c>
      <c r="E187" t="e">
        <f t="shared" si="28"/>
        <v>#DIV/0!</v>
      </c>
      <c r="F187" s="2" t="e">
        <f t="shared" si="29"/>
        <v>#DIV/0!</v>
      </c>
      <c r="G187" s="2" t="e">
        <f t="shared" si="30"/>
        <v>#DIV/0!</v>
      </c>
      <c r="H187" t="e">
        <f t="shared" si="31"/>
        <v>#DIV/0!</v>
      </c>
    </row>
    <row r="188" spans="1:8" x14ac:dyDescent="0.3">
      <c r="A188">
        <f t="shared" si="24"/>
        <v>45.25</v>
      </c>
      <c r="B188" t="e">
        <f t="shared" si="25"/>
        <v>#DIV/0!</v>
      </c>
      <c r="C188">
        <f t="shared" si="26"/>
        <v>-80.000000000000014</v>
      </c>
      <c r="D188" s="2" t="e">
        <f t="shared" si="27"/>
        <v>#DIV/0!</v>
      </c>
      <c r="E188" t="e">
        <f t="shared" si="28"/>
        <v>#DIV/0!</v>
      </c>
      <c r="F188" s="2" t="e">
        <f t="shared" si="29"/>
        <v>#DIV/0!</v>
      </c>
      <c r="G188" s="2" t="e">
        <f t="shared" si="30"/>
        <v>#DIV/0!</v>
      </c>
      <c r="H188" t="e">
        <f t="shared" si="31"/>
        <v>#DIV/0!</v>
      </c>
    </row>
    <row r="189" spans="1:8" x14ac:dyDescent="0.3">
      <c r="A189">
        <f t="shared" si="24"/>
        <v>45.5</v>
      </c>
      <c r="B189" t="e">
        <f t="shared" si="25"/>
        <v>#DIV/0!</v>
      </c>
      <c r="C189">
        <f t="shared" si="26"/>
        <v>-81.000000000000014</v>
      </c>
      <c r="D189" s="2" t="e">
        <f t="shared" si="27"/>
        <v>#DIV/0!</v>
      </c>
      <c r="E189" t="e">
        <f t="shared" si="28"/>
        <v>#DIV/0!</v>
      </c>
      <c r="F189" s="2" t="e">
        <f t="shared" si="29"/>
        <v>#DIV/0!</v>
      </c>
      <c r="G189" s="2" t="e">
        <f t="shared" si="30"/>
        <v>#DIV/0!</v>
      </c>
      <c r="H189" t="e">
        <f t="shared" si="31"/>
        <v>#DIV/0!</v>
      </c>
    </row>
    <row r="190" spans="1:8" x14ac:dyDescent="0.3">
      <c r="A190">
        <f t="shared" si="24"/>
        <v>45.75</v>
      </c>
      <c r="B190" t="e">
        <f t="shared" si="25"/>
        <v>#DIV/0!</v>
      </c>
      <c r="C190">
        <f t="shared" si="26"/>
        <v>-82.000000000000014</v>
      </c>
      <c r="D190" s="2" t="e">
        <f t="shared" si="27"/>
        <v>#DIV/0!</v>
      </c>
      <c r="E190" t="e">
        <f t="shared" si="28"/>
        <v>#DIV/0!</v>
      </c>
      <c r="F190" s="2" t="e">
        <f t="shared" si="29"/>
        <v>#DIV/0!</v>
      </c>
      <c r="G190" s="2" t="e">
        <f t="shared" si="30"/>
        <v>#DIV/0!</v>
      </c>
      <c r="H190" t="e">
        <f t="shared" si="31"/>
        <v>#DIV/0!</v>
      </c>
    </row>
    <row r="191" spans="1:8" x14ac:dyDescent="0.3">
      <c r="A191">
        <f t="shared" si="24"/>
        <v>46</v>
      </c>
      <c r="B191" t="e">
        <f t="shared" si="25"/>
        <v>#DIV/0!</v>
      </c>
      <c r="C191">
        <f t="shared" si="26"/>
        <v>-83.000000000000014</v>
      </c>
      <c r="D191" s="2" t="e">
        <f t="shared" si="27"/>
        <v>#DIV/0!</v>
      </c>
      <c r="E191" t="e">
        <f t="shared" si="28"/>
        <v>#DIV/0!</v>
      </c>
      <c r="F191" s="2" t="e">
        <f t="shared" si="29"/>
        <v>#DIV/0!</v>
      </c>
      <c r="G191" s="2" t="e">
        <f t="shared" si="30"/>
        <v>#DIV/0!</v>
      </c>
      <c r="H191" t="e">
        <f t="shared" si="31"/>
        <v>#DIV/0!</v>
      </c>
    </row>
    <row r="192" spans="1:8" x14ac:dyDescent="0.3">
      <c r="A192">
        <f t="shared" si="24"/>
        <v>46.25</v>
      </c>
      <c r="B192" t="e">
        <f t="shared" si="25"/>
        <v>#DIV/0!</v>
      </c>
      <c r="C192">
        <f t="shared" si="26"/>
        <v>-84.000000000000014</v>
      </c>
      <c r="D192" s="2" t="e">
        <f t="shared" si="27"/>
        <v>#DIV/0!</v>
      </c>
      <c r="E192" t="e">
        <f t="shared" si="28"/>
        <v>#DIV/0!</v>
      </c>
      <c r="F192" s="2" t="e">
        <f t="shared" si="29"/>
        <v>#DIV/0!</v>
      </c>
      <c r="G192" s="2" t="e">
        <f t="shared" si="30"/>
        <v>#DIV/0!</v>
      </c>
      <c r="H192" t="e">
        <f t="shared" si="31"/>
        <v>#DIV/0!</v>
      </c>
    </row>
    <row r="193" spans="1:8" x14ac:dyDescent="0.3">
      <c r="A193">
        <f t="shared" si="24"/>
        <v>46.5</v>
      </c>
      <c r="B193" t="e">
        <f t="shared" si="25"/>
        <v>#DIV/0!</v>
      </c>
      <c r="C193">
        <f t="shared" si="26"/>
        <v>-85.000000000000014</v>
      </c>
      <c r="D193" s="2" t="e">
        <f t="shared" si="27"/>
        <v>#DIV/0!</v>
      </c>
      <c r="E193" t="e">
        <f t="shared" si="28"/>
        <v>#DIV/0!</v>
      </c>
      <c r="F193" s="2" t="e">
        <f t="shared" si="29"/>
        <v>#DIV/0!</v>
      </c>
      <c r="G193" s="2" t="e">
        <f t="shared" si="30"/>
        <v>#DIV/0!</v>
      </c>
      <c r="H193" t="e">
        <f t="shared" si="31"/>
        <v>#DIV/0!</v>
      </c>
    </row>
    <row r="194" spans="1:8" x14ac:dyDescent="0.3">
      <c r="A194">
        <f t="shared" si="24"/>
        <v>46.75</v>
      </c>
      <c r="B194" t="e">
        <f t="shared" si="25"/>
        <v>#DIV/0!</v>
      </c>
      <c r="C194">
        <f t="shared" si="26"/>
        <v>-86.000000000000014</v>
      </c>
      <c r="D194" s="2" t="e">
        <f t="shared" si="27"/>
        <v>#DIV/0!</v>
      </c>
      <c r="E194" t="e">
        <f t="shared" si="28"/>
        <v>#DIV/0!</v>
      </c>
      <c r="F194" s="2" t="e">
        <f t="shared" si="29"/>
        <v>#DIV/0!</v>
      </c>
      <c r="G194" s="2" t="e">
        <f t="shared" si="30"/>
        <v>#DIV/0!</v>
      </c>
      <c r="H194" t="e">
        <f t="shared" si="31"/>
        <v>#DIV/0!</v>
      </c>
    </row>
    <row r="195" spans="1:8" x14ac:dyDescent="0.3">
      <c r="A195">
        <f t="shared" si="24"/>
        <v>47</v>
      </c>
      <c r="B195" t="e">
        <f t="shared" si="25"/>
        <v>#DIV/0!</v>
      </c>
      <c r="C195">
        <f t="shared" si="26"/>
        <v>-87.000000000000014</v>
      </c>
      <c r="D195" s="2" t="e">
        <f t="shared" si="27"/>
        <v>#DIV/0!</v>
      </c>
      <c r="E195" t="e">
        <f t="shared" si="28"/>
        <v>#DIV/0!</v>
      </c>
      <c r="F195" s="2" t="e">
        <f t="shared" si="29"/>
        <v>#DIV/0!</v>
      </c>
      <c r="G195" s="2" t="e">
        <f t="shared" si="30"/>
        <v>#DIV/0!</v>
      </c>
      <c r="H195" t="e">
        <f t="shared" si="31"/>
        <v>#DIV/0!</v>
      </c>
    </row>
    <row r="196" spans="1:8" x14ac:dyDescent="0.3">
      <c r="A196">
        <f t="shared" si="24"/>
        <v>47.25</v>
      </c>
      <c r="B196" t="e">
        <f t="shared" si="25"/>
        <v>#DIV/0!</v>
      </c>
      <c r="C196">
        <f t="shared" si="26"/>
        <v>-88.000000000000014</v>
      </c>
      <c r="D196" s="2" t="e">
        <f t="shared" si="27"/>
        <v>#DIV/0!</v>
      </c>
      <c r="E196" t="e">
        <f t="shared" si="28"/>
        <v>#DIV/0!</v>
      </c>
      <c r="F196" s="2" t="e">
        <f t="shared" si="29"/>
        <v>#DIV/0!</v>
      </c>
      <c r="G196" s="2" t="e">
        <f t="shared" si="30"/>
        <v>#DIV/0!</v>
      </c>
      <c r="H196" t="e">
        <f t="shared" si="31"/>
        <v>#DIV/0!</v>
      </c>
    </row>
    <row r="197" spans="1:8" x14ac:dyDescent="0.3">
      <c r="A197">
        <f t="shared" si="24"/>
        <v>47.5</v>
      </c>
      <c r="B197" t="e">
        <f t="shared" si="25"/>
        <v>#DIV/0!</v>
      </c>
      <c r="C197">
        <f t="shared" si="26"/>
        <v>-89.000000000000014</v>
      </c>
      <c r="D197" s="2" t="e">
        <f t="shared" si="27"/>
        <v>#DIV/0!</v>
      </c>
      <c r="E197" t="e">
        <f t="shared" si="28"/>
        <v>#DIV/0!</v>
      </c>
      <c r="F197" s="2" t="e">
        <f t="shared" si="29"/>
        <v>#DIV/0!</v>
      </c>
      <c r="G197" s="2" t="e">
        <f t="shared" si="30"/>
        <v>#DIV/0!</v>
      </c>
      <c r="H197" t="e">
        <f t="shared" si="31"/>
        <v>#DIV/0!</v>
      </c>
    </row>
    <row r="198" spans="1:8" x14ac:dyDescent="0.3">
      <c r="A198">
        <f t="shared" si="24"/>
        <v>47.75</v>
      </c>
      <c r="B198" t="e">
        <f t="shared" si="25"/>
        <v>#DIV/0!</v>
      </c>
      <c r="C198">
        <f t="shared" si="26"/>
        <v>-90.000000000000014</v>
      </c>
      <c r="D198" s="2" t="e">
        <f t="shared" si="27"/>
        <v>#DIV/0!</v>
      </c>
      <c r="E198" t="e">
        <f t="shared" si="28"/>
        <v>#DIV/0!</v>
      </c>
      <c r="F198" s="2" t="e">
        <f t="shared" si="29"/>
        <v>#DIV/0!</v>
      </c>
      <c r="G198" s="2" t="e">
        <f t="shared" si="30"/>
        <v>#DIV/0!</v>
      </c>
      <c r="H198" t="e">
        <f t="shared" si="31"/>
        <v>#DIV/0!</v>
      </c>
    </row>
    <row r="199" spans="1:8" x14ac:dyDescent="0.3">
      <c r="A199">
        <f t="shared" si="24"/>
        <v>48</v>
      </c>
      <c r="B199" t="e">
        <f t="shared" si="25"/>
        <v>#DIV/0!</v>
      </c>
      <c r="C199">
        <f t="shared" si="26"/>
        <v>-91.000000000000014</v>
      </c>
      <c r="D199" s="2" t="e">
        <f t="shared" si="27"/>
        <v>#DIV/0!</v>
      </c>
      <c r="E199" t="e">
        <f t="shared" si="28"/>
        <v>#DIV/0!</v>
      </c>
      <c r="F199" s="2" t="e">
        <f t="shared" si="29"/>
        <v>#DIV/0!</v>
      </c>
      <c r="G199" s="2" t="e">
        <f t="shared" si="30"/>
        <v>#DIV/0!</v>
      </c>
      <c r="H199" t="e">
        <f t="shared" si="31"/>
        <v>#DIV/0!</v>
      </c>
    </row>
    <row r="200" spans="1:8" x14ac:dyDescent="0.3">
      <c r="A200">
        <f t="shared" si="24"/>
        <v>48.25</v>
      </c>
      <c r="B200" t="e">
        <f t="shared" si="25"/>
        <v>#DIV/0!</v>
      </c>
      <c r="C200">
        <f t="shared" si="26"/>
        <v>-92.000000000000014</v>
      </c>
      <c r="D200" s="2" t="e">
        <f t="shared" si="27"/>
        <v>#DIV/0!</v>
      </c>
      <c r="E200" t="e">
        <f t="shared" si="28"/>
        <v>#DIV/0!</v>
      </c>
      <c r="F200" s="2" t="e">
        <f t="shared" si="29"/>
        <v>#DIV/0!</v>
      </c>
      <c r="G200" s="2" t="e">
        <f t="shared" si="30"/>
        <v>#DIV/0!</v>
      </c>
      <c r="H200" t="e">
        <f t="shared" si="31"/>
        <v>#DIV/0!</v>
      </c>
    </row>
    <row r="201" spans="1:8" x14ac:dyDescent="0.3">
      <c r="A201">
        <f t="shared" si="24"/>
        <v>48.5</v>
      </c>
      <c r="B201" t="e">
        <f t="shared" si="25"/>
        <v>#DIV/0!</v>
      </c>
      <c r="C201">
        <f t="shared" si="26"/>
        <v>-93.000000000000014</v>
      </c>
      <c r="D201" s="2" t="e">
        <f t="shared" si="27"/>
        <v>#DIV/0!</v>
      </c>
      <c r="E201" t="e">
        <f t="shared" si="28"/>
        <v>#DIV/0!</v>
      </c>
      <c r="F201" s="2" t="e">
        <f t="shared" si="29"/>
        <v>#DIV/0!</v>
      </c>
      <c r="G201" s="2" t="e">
        <f t="shared" si="30"/>
        <v>#DIV/0!</v>
      </c>
      <c r="H201" t="e">
        <f t="shared" si="31"/>
        <v>#DIV/0!</v>
      </c>
    </row>
    <row r="202" spans="1:8" x14ac:dyDescent="0.3">
      <c r="A202">
        <f t="shared" si="24"/>
        <v>48.75</v>
      </c>
      <c r="B202" t="e">
        <f t="shared" si="25"/>
        <v>#DIV/0!</v>
      </c>
      <c r="C202">
        <f t="shared" si="26"/>
        <v>-94.000000000000014</v>
      </c>
      <c r="D202" s="2" t="e">
        <f t="shared" si="27"/>
        <v>#DIV/0!</v>
      </c>
      <c r="E202" t="e">
        <f t="shared" si="28"/>
        <v>#DIV/0!</v>
      </c>
      <c r="F202" s="2" t="e">
        <f t="shared" si="29"/>
        <v>#DIV/0!</v>
      </c>
      <c r="G202" s="2" t="e">
        <f t="shared" si="30"/>
        <v>#DIV/0!</v>
      </c>
      <c r="H202" t="e">
        <f t="shared" si="31"/>
        <v>#DIV/0!</v>
      </c>
    </row>
    <row r="203" spans="1:8" x14ac:dyDescent="0.3">
      <c r="A203">
        <f t="shared" si="24"/>
        <v>49</v>
      </c>
      <c r="B203" t="e">
        <f t="shared" si="25"/>
        <v>#DIV/0!</v>
      </c>
      <c r="C203">
        <f t="shared" si="26"/>
        <v>-95.000000000000014</v>
      </c>
      <c r="D203" s="2" t="e">
        <f t="shared" si="27"/>
        <v>#DIV/0!</v>
      </c>
      <c r="E203" t="e">
        <f t="shared" si="28"/>
        <v>#DIV/0!</v>
      </c>
      <c r="F203" s="2" t="e">
        <f t="shared" si="29"/>
        <v>#DIV/0!</v>
      </c>
      <c r="G203" s="2" t="e">
        <f t="shared" si="30"/>
        <v>#DIV/0!</v>
      </c>
      <c r="H203" t="e">
        <f t="shared" si="31"/>
        <v>#DIV/0!</v>
      </c>
    </row>
    <row r="204" spans="1:8" x14ac:dyDescent="0.3">
      <c r="A204">
        <f t="shared" si="24"/>
        <v>49.25</v>
      </c>
      <c r="B204" t="e">
        <f t="shared" si="25"/>
        <v>#DIV/0!</v>
      </c>
      <c r="C204">
        <f t="shared" si="26"/>
        <v>-96.000000000000014</v>
      </c>
      <c r="D204" s="2" t="e">
        <f t="shared" si="27"/>
        <v>#DIV/0!</v>
      </c>
      <c r="E204" t="e">
        <f t="shared" si="28"/>
        <v>#DIV/0!</v>
      </c>
      <c r="F204" s="2" t="e">
        <f t="shared" si="29"/>
        <v>#DIV/0!</v>
      </c>
      <c r="G204" s="2" t="e">
        <f t="shared" si="30"/>
        <v>#DIV/0!</v>
      </c>
      <c r="H204" t="e">
        <f t="shared" si="31"/>
        <v>#DIV/0!</v>
      </c>
    </row>
    <row r="205" spans="1:8" x14ac:dyDescent="0.3">
      <c r="A205">
        <f t="shared" si="24"/>
        <v>49.5</v>
      </c>
      <c r="B205" t="e">
        <f t="shared" si="25"/>
        <v>#DIV/0!</v>
      </c>
      <c r="C205">
        <f t="shared" si="26"/>
        <v>-97.000000000000014</v>
      </c>
      <c r="D205" s="2" t="e">
        <f t="shared" si="27"/>
        <v>#DIV/0!</v>
      </c>
      <c r="E205" t="e">
        <f t="shared" si="28"/>
        <v>#DIV/0!</v>
      </c>
      <c r="F205" s="2" t="e">
        <f t="shared" si="29"/>
        <v>#DIV/0!</v>
      </c>
      <c r="G205" s="2" t="e">
        <f t="shared" si="30"/>
        <v>#DIV/0!</v>
      </c>
      <c r="H205" t="e">
        <f t="shared" si="31"/>
        <v>#DIV/0!</v>
      </c>
    </row>
    <row r="206" spans="1:8" x14ac:dyDescent="0.3">
      <c r="A206">
        <f t="shared" si="24"/>
        <v>49.75</v>
      </c>
      <c r="B206" t="e">
        <f t="shared" si="25"/>
        <v>#DIV/0!</v>
      </c>
      <c r="C206">
        <f t="shared" si="26"/>
        <v>-98.000000000000014</v>
      </c>
      <c r="D206" s="2" t="e">
        <f t="shared" si="27"/>
        <v>#DIV/0!</v>
      </c>
      <c r="E206" t="e">
        <f t="shared" si="28"/>
        <v>#DIV/0!</v>
      </c>
      <c r="F206" s="2" t="e">
        <f t="shared" si="29"/>
        <v>#DIV/0!</v>
      </c>
      <c r="G206" s="2" t="e">
        <f t="shared" si="30"/>
        <v>#DIV/0!</v>
      </c>
      <c r="H206" t="e">
        <f t="shared" si="31"/>
        <v>#DIV/0!</v>
      </c>
    </row>
    <row r="207" spans="1:8" x14ac:dyDescent="0.3">
      <c r="A207">
        <f t="shared" si="24"/>
        <v>50</v>
      </c>
      <c r="B207" t="e">
        <f t="shared" si="25"/>
        <v>#DIV/0!</v>
      </c>
      <c r="C207">
        <f t="shared" si="26"/>
        <v>-99.000000000000014</v>
      </c>
      <c r="D207" s="2" t="e">
        <f t="shared" si="27"/>
        <v>#DIV/0!</v>
      </c>
      <c r="E207" t="e">
        <f t="shared" si="28"/>
        <v>#DIV/0!</v>
      </c>
      <c r="F207" s="2" t="e">
        <f t="shared" si="29"/>
        <v>#DIV/0!</v>
      </c>
      <c r="G207" s="2" t="e">
        <f t="shared" si="30"/>
        <v>#DIV/0!</v>
      </c>
      <c r="H207" t="e">
        <f t="shared" si="31"/>
        <v>#DIV/0!</v>
      </c>
    </row>
    <row r="208" spans="1:8" x14ac:dyDescent="0.3">
      <c r="A208">
        <f t="shared" si="24"/>
        <v>50.25</v>
      </c>
      <c r="B208" t="e">
        <f t="shared" si="25"/>
        <v>#DIV/0!</v>
      </c>
      <c r="C208">
        <f t="shared" si="26"/>
        <v>-100.00000000000001</v>
      </c>
      <c r="D208" s="2" t="e">
        <f t="shared" si="27"/>
        <v>#DIV/0!</v>
      </c>
      <c r="E208" t="e">
        <f t="shared" si="28"/>
        <v>#DIV/0!</v>
      </c>
      <c r="F208" s="2" t="e">
        <f t="shared" si="29"/>
        <v>#DIV/0!</v>
      </c>
      <c r="G208" s="2" t="e">
        <f t="shared" si="30"/>
        <v>#DIV/0!</v>
      </c>
      <c r="H208" t="e">
        <f t="shared" si="31"/>
        <v>#DIV/0!</v>
      </c>
    </row>
    <row r="209" spans="1:8" x14ac:dyDescent="0.3">
      <c r="A209">
        <f t="shared" si="24"/>
        <v>50.5</v>
      </c>
      <c r="B209" t="e">
        <f t="shared" si="25"/>
        <v>#DIV/0!</v>
      </c>
      <c r="C209">
        <f t="shared" si="26"/>
        <v>-101.00000000000001</v>
      </c>
      <c r="D209" s="2" t="e">
        <f t="shared" si="27"/>
        <v>#DIV/0!</v>
      </c>
      <c r="E209" t="e">
        <f t="shared" si="28"/>
        <v>#DIV/0!</v>
      </c>
      <c r="F209" s="2" t="e">
        <f t="shared" si="29"/>
        <v>#DIV/0!</v>
      </c>
      <c r="G209" s="2" t="e">
        <f t="shared" si="30"/>
        <v>#DIV/0!</v>
      </c>
      <c r="H209" t="e">
        <f t="shared" si="31"/>
        <v>#DIV/0!</v>
      </c>
    </row>
    <row r="210" spans="1:8" x14ac:dyDescent="0.3">
      <c r="A210">
        <f t="shared" si="24"/>
        <v>50.75</v>
      </c>
      <c r="B210" t="e">
        <f t="shared" si="25"/>
        <v>#DIV/0!</v>
      </c>
      <c r="C210">
        <f t="shared" si="26"/>
        <v>-102.00000000000001</v>
      </c>
      <c r="D210" s="2" t="e">
        <f t="shared" si="27"/>
        <v>#DIV/0!</v>
      </c>
      <c r="E210" t="e">
        <f t="shared" si="28"/>
        <v>#DIV/0!</v>
      </c>
      <c r="F210" s="2" t="e">
        <f t="shared" si="29"/>
        <v>#DIV/0!</v>
      </c>
      <c r="G210" s="2" t="e">
        <f t="shared" si="30"/>
        <v>#DIV/0!</v>
      </c>
      <c r="H210" t="e">
        <f t="shared" si="31"/>
        <v>#DIV/0!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Nina Levin</dc:creator>
  <cp:lastModifiedBy>Nina Levin</cp:lastModifiedBy>
  <dcterms:created xsi:type="dcterms:W3CDTF">2025-12-30T09:41:13Z</dcterms:created>
  <dcterms:modified xsi:type="dcterms:W3CDTF">2025-12-30T10:29:28Z</dcterms:modified>
</cp:coreProperties>
</file>